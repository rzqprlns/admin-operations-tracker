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2b9587b241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min Tracker" sheetId="1" r:id="R8a1995ffb76f47aa"/>
    <x:sheet xmlns:r="http://schemas.openxmlformats.org/officeDocument/2006/relationships" name="Dashboard" sheetId="2" r:id="R7b4c7b0f091d4aee"/>
    <x:sheet xmlns:r="http://schemas.openxmlformats.org/officeDocument/2006/relationships" name="Lists" sheetId="3" r:id="R510004ed7f724f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17324D"/>
      <x:name val="Carlito"/>
    </x:font>
    <x:font>
      <x:i/>
      <x:sz val="11"/>
      <x:color rgb="FF5E6B78"/>
      <x:name val="Carlito"/>
    </x:font>
    <x:font>
      <x:b/>
      <x:sz val="18"/>
      <x:color rgb="FF17324D"/>
      <x:name val="Carlito"/>
    </x:font>
    <x:font>
      <x:sz val="11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7"/>
      </x:patternFill>
    </x:fill>
    <x:fill>
      <x:patternFill patternType="solid">
        <x:fgColor rgb="FFFFFFFF"/>
      </x:patternFill>
    </x:fill>
  </x:fills>
  <x:borders count="18">
    <x:border/>
    <x:border/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top/>
    </x:border>
    <x:border>
      <x:left/>
    </x:border>
    <x:border>
      <x:right/>
    </x:border>
    <x:border>
      <x:bottom/>
    </x:border>
    <x:border>
      <x:top/>
    </x:border>
    <x:border>
      <x:left/>
    </x:border>
    <x:border>
      <x:right/>
    </x:border>
    <x:border>
      <x:bottom/>
    </x:border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9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4" fillId="4" borderId="9" xfId="0" applyNumberFormat="1" applyFont="1" applyFill="1" applyBorder="1" applyAlignment="1">
      <x:alignment horizontal="center" vertical="center"/>
    </x:xf>
    <x:xf numFmtId="201" fontId="4" fillId="4" borderId="2" xfId="0" applyNumberFormat="1" applyFont="1" applyFill="1" applyBorder="1" applyAlignment="1">
      <x:alignment horizontal="center" vertical="center"/>
    </x:xf>
    <x:xf numFmtId="201" fontId="4" fillId="4" borderId="6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5" fillId="4" borderId="10" xfId="0" applyNumberFormat="1" applyFont="1" applyFill="1" applyBorder="1"/>
    <x:xf numFmtId="0" fontId="5" fillId="4" borderId="3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4" xfId="0" applyNumberFormat="1" applyFont="1" applyFill="1" applyBorder="1"/>
    <x:xf numFmtId="0" fontId="5" fillId="4" borderId="13" xfId="0" applyNumberFormat="1" applyFont="1" applyFill="1" applyBorder="1"/>
    <x:xf numFmtId="0" fontId="5" fillId="4" borderId="5" xfId="0" applyNumberFormat="1" applyFont="1" applyFill="1" applyBorder="1"/>
    <x:xf numFmtId="0" fontId="5" fillId="4" borderId="2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2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/>
    <x:xf numFmtId="0" fontId="5" fillId="4" borderId="6" xfId="0" applyNumberFormat="1" applyFont="1" applyFill="1" applyBorder="1"/>
    <x:xf numFmtId="0" fontId="5" fillId="4" borderId="14" xfId="0" applyNumberFormat="1" applyFont="1" applyFill="1" applyBorder="1"/>
    <x:xf numFmtId="0" fontId="5" fillId="4" borderId="7" xfId="0" applyNumberFormat="1" applyFont="1" applyFill="1" applyBorder="1"/>
    <x:xf numFmtId="0" fontId="5" fillId="4" borderId="15" xfId="0" applyNumberFormat="1" applyFont="1" applyFill="1" applyBorder="1"/>
    <x:xf numFmtId="0" fontId="5" fillId="4" borderId="16" xfId="0" applyNumberFormat="1" applyFont="1" applyFill="1" applyBorder="1"/>
    <x:xf numFmtId="0" fontId="5" fillId="4" borderId="8" xfId="0" applyNumberFormat="1" applyFont="1" applyFill="1" applyBorder="1"/>
    <x:xf numFmtId="0" fontId="5" fillId="4" borderId="17" xfId="0" applyNumberFormat="1" applyFont="1" applyFill="1" applyBorder="1"/>
    <x:xf numFmtId="0" fontId="5" fillId="4" borderId="9" xfId="0" applyNumberFormat="1" applyFont="1" applyFill="1" applyBorder="1"/>
    <x:xf numFmtId="0" fontId="5" fillId="4" borderId="6" xfId="0" applyNumberFormat="1" applyFont="1" applyFill="1" applyBorder="1" applyAlignment="1">
      <x:alignment wrapText="1"/>
    </x:xf>
    <x:xf numFmtId="0" fontId="5" fillId="4" borderId="14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15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17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vertical="top" wrapText="1"/>
    </x:xf>
    <x:xf numFmtId="0" fontId="5" fillId="4" borderId="14" xfId="0" applyNumberFormat="1" applyFont="1" applyFill="1" applyBorder="1" applyAlignment="1">
      <x:alignment vertical="top" wrapText="1"/>
    </x:xf>
    <x:xf numFmtId="0" fontId="5" fillId="4" borderId="7" xfId="0" applyNumberFormat="1" applyFont="1" applyFill="1" applyBorder="1" applyAlignment="1">
      <x:alignment vertical="top" wrapText="1"/>
    </x:xf>
    <x:xf numFmtId="0" fontId="5" fillId="4" borderId="15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16" xfId="0" applyNumberFormat="1" applyFont="1" applyFill="1" applyBorder="1" applyAlignment="1">
      <x:alignment vertical="top" wrapText="1"/>
    </x:xf>
    <x:xf numFmtId="0" fontId="5" fillId="4" borderId="8" xfId="0" applyNumberFormat="1" applyFont="1" applyFill="1" applyBorder="1" applyAlignment="1">
      <x:alignment vertical="top" wrapText="1"/>
    </x:xf>
    <x:xf numFmtId="0" fontId="5" fillId="4" borderId="17" xfId="0" applyNumberFormat="1" applyFont="1" applyFill="1" applyBorder="1" applyAlignment="1">
      <x:alignment vertical="top" wrapText="1"/>
    </x:xf>
    <x:xf numFmtId="0" fontId="5" fillId="4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B1C1C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0C2"/>
        </x:patternFill>
      </x:fill>
    </x:dxf>
    <x:dxf>
      <x:font>
        <x:color rgb="FF9B1C1C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afd14f023a4368" /><Relationship Type="http://schemas.openxmlformats.org/officeDocument/2006/relationships/theme" Target="/xl/theme/theme1.xml" Id="R6e1203b750bd460c" /><Relationship Type="http://schemas.openxmlformats.org/officeDocument/2006/relationships/sharedStrings" Target="/xl/sharedStrings.xml" Id="R37319908d7bd4cb2" /><Relationship Type="http://schemas.openxmlformats.org/officeDocument/2006/relationships/worksheet" Target="/xl/worksheets/sheet1.xml" Id="R8a1995ffb76f47aa" /><Relationship Type="http://schemas.openxmlformats.org/officeDocument/2006/relationships/worksheet" Target="/xl/worksheets/sheet2.xml" Id="R7b4c7b0f091d4aee" /><Relationship Type="http://schemas.openxmlformats.org/officeDocument/2006/relationships/worksheet" Target="/xl/worksheets/sheet3.xml" Id="R510004ed7f724f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ba1e96f72044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Records by Status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'Dashboard'!$D$11:$D$14</c:f>
              <c:strCache>
                <c:ptCount val="0"/>
              </c:strCache>
            </c:strRef>
          </c:cat>
          <c:val>
            <c:numRef>
              <c:f>'Dashboard'!$E$11:$E$14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ba1e96f72044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dminRecords" displayName="AdminRecords" ref="A1:O121" headerRowCount="1" totalsRowCount="0" totalsRowShown="0">
  <x:tableColumns count="15">
    <x:tableColumn id="1" name="Record ID"/>
    <x:tableColumn id="2" name="Received Date"/>
    <x:tableColumn id="3" name="Document Type"/>
    <x:tableColumn id="4" name="Requester"/>
    <x:tableColumn id="5" name="Owner"/>
    <x:tableColumn id="6" name="Priority"/>
    <x:tableColumn id="7" name="Status"/>
    <x:tableColumn id="8" name="Due Date"/>
    <x:tableColumn id="9" name="Completed Date"/>
    <x:tableColumn id="10" name="Processing Days"/>
    <x:tableColumn id="11" name="SLA Days"/>
    <x:tableColumn id="12" name="SLA Status"/>
    <x:tableColumn id="13" name="Completeness"/>
    <x:tableColumn id="14" name="Duplicate Flag"/>
    <x:tableColumn id="1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edb7b8a0cb1452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3faf55b063f2426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6" hidden="0" customWidth="1"/>
    <x:col min="10" max="10" width="15" hidden="0" customWidth="1"/>
    <x:col min="11" max="11" width="15" hidden="0" customWidth="1"/>
    <x:col min="12" max="12" width="15" hidden="0" customWidth="1"/>
    <x:col min="13" max="13" width="18" hidden="0" customWidth="1"/>
    <x:col min="14" max="14" width="18" hidden="0" customWidth="1"/>
    <x:col min="15" max="15" width="28" hidden="0" customWidth="1"/>
  </x:cols>
  <x:sheetData>
    <x:row r="1">
      <x:c r="A1" s="6" t="str">
        <x:v>Record ID</x:v>
      </x:c>
      <x:c r="B1" s="6" t="str">
        <x:v>Received Date</x:v>
      </x:c>
      <x:c r="C1" s="6" t="str">
        <x:v>Document Type</x:v>
      </x:c>
      <x:c r="D1" s="6" t="str">
        <x:v>Requester</x:v>
      </x:c>
      <x:c r="E1" s="6" t="str">
        <x:v>Owner</x:v>
      </x:c>
      <x:c r="F1" s="6" t="str">
        <x:v>Priority</x:v>
      </x:c>
      <x:c r="G1" s="6" t="str">
        <x:v>Status</x:v>
      </x:c>
      <x:c r="H1" s="6" t="str">
        <x:v>Due Date</x:v>
      </x:c>
      <x:c r="I1" s="6" t="str">
        <x:v>Completed Date</x:v>
      </x:c>
      <x:c r="J1" s="6" t="str">
        <x:v>Processing Days</x:v>
      </x:c>
      <x:c r="K1" s="6" t="str">
        <x:v>SLA Days</x:v>
      </x:c>
      <x:c r="L1" s="6" t="str">
        <x:v>SLA Status</x:v>
      </x:c>
      <x:c r="M1" s="6" t="str">
        <x:v>Completeness</x:v>
      </x:c>
      <x:c r="N1" s="6" t="str">
        <x:v>Duplicate Flag</x:v>
      </x:c>
      <x:c r="O1" s="6" t="str">
        <x:v>Notes</x:v>
      </x:c>
    </x:row>
    <x:row r="2">
      <x:c r="A2" s="12" t="str">
        <x:v>ADM-0001</x:v>
      </x:c>
      <x:c r="B2" s="14" t="n">
        <x:v>46244</x:v>
      </x:c>
      <x:c r="C2" s="12" t="str">
        <x:v>Purchase Order</x:v>
      </x:c>
      <x:c r="D2" s="12" t="str">
        <x:v>Requester 07</x:v>
      </x:c>
      <x:c r="E2" s="12" t="str">
        <x:v>Admin A</x:v>
      </x:c>
      <x:c r="F2" s="12" t="str">
        <x:v>Low</x:v>
      </x:c>
      <x:c r="G2" s="12" t="str">
        <x:v>Completed</x:v>
      </x:c>
      <x:c r="H2" s="14" t="n">
        <x:v>46249</x:v>
      </x:c>
      <x:c r="I2" s="14" t="n">
        <x:v>46248</x:v>
      </x:c>
      <x:c r="J2" s="12" t="n">
        <x:f>IF(I2&lt;&gt;"",I2-B2,TODAY()-B2)</x:f>
        <x:v>4</x:v>
      </x:c>
      <x:c r="K2" s="12" t="n">
        <x:v>5</x:v>
      </x:c>
      <x:c r="L2" s="12" t="str">
        <x:f>IF(G2="Completed",IF(J2&lt;=K2,"Within SLA","Late"),IF(TODAY()&lt;=H2,"Within SLA","Overdue"))</x:f>
        <x:v>Within SLA</x:v>
      </x:c>
      <x:c r="M2" s="12" t="str">
        <x:v>Complete</x:v>
      </x:c>
      <x:c r="N2" s="12" t="str">
        <x:v>Unique</x:v>
      </x:c>
      <x:c r="O2" s="12" t="str"/>
    </x:row>
    <x:row r="3">
      <x:c r="A3" s="12" t="str">
        <x:v>ADM-0002</x:v>
      </x:c>
      <x:c r="B3" s="14" t="n">
        <x:v>46241</x:v>
      </x:c>
      <x:c r="C3" s="12" t="str">
        <x:v>Purchase Order</x:v>
      </x:c>
      <x:c r="D3" s="12" t="str">
        <x:v>Requester 33</x:v>
      </x:c>
      <x:c r="E3" s="12" t="str">
        <x:v>Admin A</x:v>
      </x:c>
      <x:c r="F3" s="12" t="str">
        <x:v>Low</x:v>
      </x:c>
      <x:c r="G3" s="12" t="str">
        <x:v>Pending Verification</x:v>
      </x:c>
      <x:c r="H3" s="14" t="n">
        <x:v>46246</x:v>
      </x:c>
      <x:c r="I3" s="14"/>
      <x:c r="J3" s="12" t="n">
        <x:f>IF(I3&lt;&gt;"",I3-B3,TODAY()-B3)</x:f>
        <x:v>15</x:v>
      </x:c>
      <x:c r="K3" s="12" t="n">
        <x:v>5</x:v>
      </x:c>
      <x:c r="L3" s="12" t="str">
        <x:f>IF(G3="Completed",IF(J3&lt;=K3,"Within SLA","Late"),IF(TODAY()&lt;=H3,"Within SLA","Overdue"))</x:f>
        <x:v>Overdue</x:v>
      </x:c>
      <x:c r="M3" s="12" t="str">
        <x:v>Complete</x:v>
      </x:c>
      <x:c r="N3" s="12" t="str">
        <x:v>Unique</x:v>
      </x:c>
      <x:c r="O3" s="12" t="str"/>
    </x:row>
    <x:row r="4">
      <x:c r="A4" s="12" t="str">
        <x:v>ADM-0003</x:v>
      </x:c>
      <x:c r="B4" s="14" t="n">
        <x:v>46239</x:v>
      </x:c>
      <x:c r="C4" s="12" t="str">
        <x:v>Customer Form</x:v>
      </x:c>
      <x:c r="D4" s="12" t="str">
        <x:v>Requester 18</x:v>
      </x:c>
      <x:c r="E4" s="12" t="str">
        <x:v>Admin A</x:v>
      </x:c>
      <x:c r="F4" s="12" t="str">
        <x:v>Medium</x:v>
      </x:c>
      <x:c r="G4" s="12" t="str">
        <x:v>Completed</x:v>
      </x:c>
      <x:c r="H4" s="14" t="n">
        <x:v>46242</x:v>
      </x:c>
      <x:c r="I4" s="14" t="n">
        <x:v>46245</x:v>
      </x:c>
      <x:c r="J4" s="12" t="n">
        <x:f>IF(I4&lt;&gt;"",I4-B4,TODAY()-B4)</x:f>
        <x:v>6</x:v>
      </x:c>
      <x:c r="K4" s="12" t="n">
        <x:v>3</x:v>
      </x:c>
      <x:c r="L4" s="12" t="str">
        <x:f>IF(G4="Completed",IF(J4&lt;=K4,"Within SLA","Late"),IF(TODAY()&lt;=H4,"Within SLA","Overdue"))</x:f>
        <x:v>Late</x:v>
      </x:c>
      <x:c r="M4" s="12" t="str">
        <x:v>Complete</x:v>
      </x:c>
      <x:c r="N4" s="12" t="str">
        <x:v>Unique</x:v>
      </x:c>
      <x:c r="O4" s="12" t="str"/>
    </x:row>
    <x:row r="5">
      <x:c r="A5" s="12" t="str">
        <x:v>ADM-0004</x:v>
      </x:c>
      <x:c r="B5" s="14" t="n">
        <x:v>46252</x:v>
      </x:c>
      <x:c r="C5" s="12" t="str">
        <x:v>Purchase Order</x:v>
      </x:c>
      <x:c r="D5" s="12" t="str">
        <x:v>Requester 22</x:v>
      </x:c>
      <x:c r="E5" s="12" t="str">
        <x:v>Admin A</x:v>
      </x:c>
      <x:c r="F5" s="12" t="str">
        <x:v>Medium</x:v>
      </x:c>
      <x:c r="G5" s="12" t="str">
        <x:v>Completed</x:v>
      </x:c>
      <x:c r="H5" s="14" t="n">
        <x:v>46255</x:v>
      </x:c>
      <x:c r="I5" s="14" t="n">
        <x:v>46257</x:v>
      </x:c>
      <x:c r="J5" s="12" t="n">
        <x:f>IF(I5&lt;&gt;"",I5-B5,TODAY()-B5)</x:f>
        <x:v>5</x:v>
      </x:c>
      <x:c r="K5" s="12" t="n">
        <x:v>3</x:v>
      </x:c>
      <x:c r="L5" s="12" t="str">
        <x:f>IF(G5="Completed",IF(J5&lt;=K5,"Within SLA","Late"),IF(TODAY()&lt;=H5,"Within SLA","Overdue"))</x:f>
        <x:v>Late</x:v>
      </x:c>
      <x:c r="M5" s="12" t="str">
        <x:v>Complete</x:v>
      </x:c>
      <x:c r="N5" s="12" t="str">
        <x:v>Unique</x:v>
      </x:c>
      <x:c r="O5" s="12" t="str"/>
    </x:row>
    <x:row r="6">
      <x:c r="A6" s="12" t="str">
        <x:v>ADM-0005</x:v>
      </x:c>
      <x:c r="B6" s="14" t="n">
        <x:v>46209</x:v>
      </x:c>
      <x:c r="C6" s="12" t="str">
        <x:v>Customer Form</x:v>
      </x:c>
      <x:c r="D6" s="12" t="str">
        <x:v>Requester 17</x:v>
      </x:c>
      <x:c r="E6" s="12" t="str">
        <x:v>Admin A</x:v>
      </x:c>
      <x:c r="F6" s="12" t="str">
        <x:v>Low</x:v>
      </x:c>
      <x:c r="G6" s="12" t="str">
        <x:v>Pending Verification</x:v>
      </x:c>
      <x:c r="H6" s="14" t="n">
        <x:v>46214</x:v>
      </x:c>
      <x:c r="I6" s="14"/>
      <x:c r="J6" s="12" t="n">
        <x:f>IF(I6&lt;&gt;"",I6-B6,TODAY()-B6)</x:f>
        <x:v>47</x:v>
      </x:c>
      <x:c r="K6" s="12" t="n">
        <x:v>5</x:v>
      </x:c>
      <x:c r="L6" s="12" t="str">
        <x:f>IF(G6="Completed",IF(J6&lt;=K6,"Within SLA","Late"),IF(TODAY()&lt;=H6,"Within SLA","Overdue"))</x:f>
        <x:v>Overdue</x:v>
      </x:c>
      <x:c r="M6" s="12" t="str">
        <x:v>Complete</x:v>
      </x:c>
      <x:c r="N6" s="12" t="str">
        <x:v>Unique</x:v>
      </x:c>
      <x:c r="O6" s="12" t="str"/>
    </x:row>
    <x:row r="7">
      <x:c r="A7" s="12" t="str">
        <x:v>ADM-0006</x:v>
      </x:c>
      <x:c r="B7" s="14" t="n">
        <x:v>46250</x:v>
      </x:c>
      <x:c r="C7" s="12" t="str">
        <x:v>Contract</x:v>
      </x:c>
      <x:c r="D7" s="12" t="str">
        <x:v>Requester 06</x:v>
      </x:c>
      <x:c r="E7" s="12" t="str">
        <x:v>Admin C</x:v>
      </x:c>
      <x:c r="F7" s="12" t="str">
        <x:v>Medium</x:v>
      </x:c>
      <x:c r="G7" s="12" t="str">
        <x:v>Pending Verification</x:v>
      </x:c>
      <x:c r="H7" s="14" t="n">
        <x:v>46253</x:v>
      </x:c>
      <x:c r="I7" s="14"/>
      <x:c r="J7" s="12" t="n">
        <x:f>IF(I7&lt;&gt;"",I7-B7,TODAY()-B7)</x:f>
        <x:v>6</x:v>
      </x:c>
      <x:c r="K7" s="12" t="n">
        <x:v>3</x:v>
      </x:c>
      <x:c r="L7" s="12" t="str">
        <x:f>IF(G7="Completed",IF(J7&lt;=K7,"Within SLA","Late"),IF(TODAY()&lt;=H7,"Within SLA","Overdue"))</x:f>
        <x:v>Overdue</x:v>
      </x:c>
      <x:c r="M7" s="12" t="str">
        <x:v>Missing Document</x:v>
      </x:c>
      <x:c r="N7" s="12" t="str">
        <x:v>Unique</x:v>
      </x:c>
      <x:c r="O7" s="12" t="str"/>
    </x:row>
    <x:row r="8">
      <x:c r="A8" s="12" t="str">
        <x:v>ADM-0007</x:v>
      </x:c>
      <x:c r="B8" s="14" t="n">
        <x:v>46244</x:v>
      </x:c>
      <x:c r="C8" s="12" t="str">
        <x:v>Purchase Order</x:v>
      </x:c>
      <x:c r="D8" s="12" t="str">
        <x:v>Requester 05</x:v>
      </x:c>
      <x:c r="E8" s="12" t="str">
        <x:v>Admin A</x:v>
      </x:c>
      <x:c r="F8" s="12" t="str">
        <x:v>High</x:v>
      </x:c>
      <x:c r="G8" s="12" t="str">
        <x:v>Incomplete</x:v>
      </x:c>
      <x:c r="H8" s="14" t="n">
        <x:v>46245</x:v>
      </x:c>
      <x:c r="I8" s="14"/>
      <x:c r="J8" s="12" t="n">
        <x:f>IF(I8&lt;&gt;"",I8-B8,TODAY()-B8)</x:f>
        <x:v>12</x:v>
      </x:c>
      <x:c r="K8" s="12" t="n">
        <x:v>1</x:v>
      </x:c>
      <x:c r="L8" s="12" t="str">
        <x:f>IF(G8="Completed",IF(J8&lt;=K8,"Within SLA","Late"),IF(TODAY()&lt;=H8,"Within SLA","Overdue"))</x:f>
        <x:v>Overdue</x:v>
      </x:c>
      <x:c r="M8" s="12" t="str">
        <x:v>Complete</x:v>
      </x:c>
      <x:c r="N8" s="12" t="str">
        <x:v>Unique</x:v>
      </x:c>
      <x:c r="O8" s="12" t="str"/>
    </x:row>
    <x:row r="9">
      <x:c r="A9" s="12" t="str">
        <x:v>ADM-0008</x:v>
      </x:c>
      <x:c r="B9" s="14" t="n">
        <x:v>46246</x:v>
      </x:c>
      <x:c r="C9" s="12" t="str">
        <x:v>Other</x:v>
      </x:c>
      <x:c r="D9" s="12" t="str">
        <x:v>Requester 07</x:v>
      </x:c>
      <x:c r="E9" s="12" t="str">
        <x:v>Admin D</x:v>
      </x:c>
      <x:c r="F9" s="12" t="str">
        <x:v>Medium</x:v>
      </x:c>
      <x:c r="G9" s="12" t="str">
        <x:v>Completed</x:v>
      </x:c>
      <x:c r="H9" s="14" t="n">
        <x:v>46249</x:v>
      </x:c>
      <x:c r="I9" s="14" t="n">
        <x:v>46247</x:v>
      </x:c>
      <x:c r="J9" s="12" t="n">
        <x:f>IF(I9&lt;&gt;"",I9-B9,TODAY()-B9)</x:f>
        <x:v>1</x:v>
      </x:c>
      <x:c r="K9" s="12" t="n">
        <x:v>3</x:v>
      </x:c>
      <x:c r="L9" s="12" t="str">
        <x:f>IF(G9="Completed",IF(J9&lt;=K9,"Within SLA","Late"),IF(TODAY()&lt;=H9,"Within SLA","Overdue"))</x:f>
        <x:v>Within SLA</x:v>
      </x:c>
      <x:c r="M9" s="12" t="str">
        <x:v>Complete</x:v>
      </x:c>
      <x:c r="N9" s="12" t="str">
        <x:v>Unique</x:v>
      </x:c>
      <x:c r="O9" s="12" t="str"/>
    </x:row>
    <x:row r="10">
      <x:c r="A10" s="12" t="str">
        <x:v>ADM-0009</x:v>
      </x:c>
      <x:c r="B10" s="14" t="n">
        <x:v>46221</x:v>
      </x:c>
      <x:c r="C10" s="12" t="str">
        <x:v>Delivery Note</x:v>
      </x:c>
      <x:c r="D10" s="12" t="str">
        <x:v>Requester 23</x:v>
      </x:c>
      <x:c r="E10" s="12" t="str">
        <x:v>Admin B</x:v>
      </x:c>
      <x:c r="F10" s="12" t="str">
        <x:v>Medium</x:v>
      </x:c>
      <x:c r="G10" s="12" t="str">
        <x:v>Pending Verification</x:v>
      </x:c>
      <x:c r="H10" s="14" t="n">
        <x:v>46224</x:v>
      </x:c>
      <x:c r="I10" s="14"/>
      <x:c r="J10" s="12" t="n">
        <x:f>IF(I10&lt;&gt;"",I10-B10,TODAY()-B10)</x:f>
        <x:v>35</x:v>
      </x:c>
      <x:c r="K10" s="12" t="n">
        <x:v>3</x:v>
      </x:c>
      <x:c r="L10" s="12" t="str">
        <x:f>IF(G10="Completed",IF(J10&lt;=K10,"Within SLA","Late"),IF(TODAY()&lt;=H10,"Within SLA","Overdue"))</x:f>
        <x:v>Overdue</x:v>
      </x:c>
      <x:c r="M10" s="12" t="str">
        <x:v>Complete</x:v>
      </x:c>
      <x:c r="N10" s="12" t="str">
        <x:v>Unique</x:v>
      </x:c>
      <x:c r="O10" s="12" t="str"/>
    </x:row>
    <x:row r="11">
      <x:c r="A11" s="12" t="str">
        <x:v>ADM-0010</x:v>
      </x:c>
      <x:c r="B11" s="14" t="n">
        <x:v>46246</x:v>
      </x:c>
      <x:c r="C11" s="12" t="str">
        <x:v>Purchase Order</x:v>
      </x:c>
      <x:c r="D11" s="12" t="str">
        <x:v>Requester 35</x:v>
      </x:c>
      <x:c r="E11" s="12" t="str">
        <x:v>Admin B</x:v>
      </x:c>
      <x:c r="F11" s="12" t="str">
        <x:v>Medium</x:v>
      </x:c>
      <x:c r="G11" s="12" t="str">
        <x:v>Completed</x:v>
      </x:c>
      <x:c r="H11" s="14" t="n">
        <x:v>46249</x:v>
      </x:c>
      <x:c r="I11" s="14" t="n">
        <x:v>46247</x:v>
      </x:c>
      <x:c r="J11" s="12" t="n">
        <x:f>IF(I11&lt;&gt;"",I11-B11,TODAY()-B11)</x:f>
        <x:v>1</x:v>
      </x:c>
      <x:c r="K11" s="12" t="n">
        <x:v>3</x:v>
      </x:c>
      <x:c r="L11" s="12" t="str">
        <x:f>IF(G11="Completed",IF(J11&lt;=K11,"Within SLA","Late"),IF(TODAY()&lt;=H11,"Within SLA","Overdue"))</x:f>
        <x:v>Within SLA</x:v>
      </x:c>
      <x:c r="M11" s="12" t="str">
        <x:v>Complete</x:v>
      </x:c>
      <x:c r="N11" s="12" t="str">
        <x:v>Unique</x:v>
      </x:c>
      <x:c r="O11" s="12" t="str"/>
    </x:row>
    <x:row r="12">
      <x:c r="A12" s="12" t="str">
        <x:v>ADM-0011</x:v>
      </x:c>
      <x:c r="B12" s="14" t="n">
        <x:v>46214</x:v>
      </x:c>
      <x:c r="C12" s="12" t="str">
        <x:v>Vendor Form</x:v>
      </x:c>
      <x:c r="D12" s="12" t="str">
        <x:v>Requester 45</x:v>
      </x:c>
      <x:c r="E12" s="12" t="str">
        <x:v>Admin B</x:v>
      </x:c>
      <x:c r="F12" s="12" t="str">
        <x:v>Medium</x:v>
      </x:c>
      <x:c r="G12" s="12" t="str">
        <x:v>Pending Verification</x:v>
      </x:c>
      <x:c r="H12" s="14" t="n">
        <x:v>46217</x:v>
      </x:c>
      <x:c r="I12" s="14"/>
      <x:c r="J12" s="12" t="n">
        <x:f>IF(I12&lt;&gt;"",I12-B12,TODAY()-B12)</x:f>
        <x:v>42</x:v>
      </x:c>
      <x:c r="K12" s="12" t="n">
        <x:v>3</x:v>
      </x:c>
      <x:c r="L12" s="12" t="str">
        <x:f>IF(G12="Completed",IF(J12&lt;=K12,"Within SLA","Late"),IF(TODAY()&lt;=H12,"Within SLA","Overdue"))</x:f>
        <x:v>Overdue</x:v>
      </x:c>
      <x:c r="M12" s="12" t="str">
        <x:v>Missing Document</x:v>
      </x:c>
      <x:c r="N12" s="12" t="str">
        <x:v>Unique</x:v>
      </x:c>
      <x:c r="O12" s="12" t="str"/>
    </x:row>
    <x:row r="13">
      <x:c r="A13" s="12" t="str">
        <x:v>ADM-0012</x:v>
      </x:c>
      <x:c r="B13" s="14" t="n">
        <x:v>46247</x:v>
      </x:c>
      <x:c r="C13" s="12" t="str">
        <x:v>Invoice</x:v>
      </x:c>
      <x:c r="D13" s="12" t="str">
        <x:v>Requester 21</x:v>
      </x:c>
      <x:c r="E13" s="12" t="str">
        <x:v>Admin D</x:v>
      </x:c>
      <x:c r="F13" s="12" t="str">
        <x:v>High</x:v>
      </x:c>
      <x:c r="G13" s="12" t="str">
        <x:v>Completed</x:v>
      </x:c>
      <x:c r="H13" s="14" t="n">
        <x:v>46248</x:v>
      </x:c>
      <x:c r="I13" s="14" t="n">
        <x:v>46247</x:v>
      </x:c>
      <x:c r="J13" s="12" t="n">
        <x:f>IF(I13&lt;&gt;"",I13-B13,TODAY()-B13)</x:f>
        <x:v>0</x:v>
      </x:c>
      <x:c r="K13" s="12" t="n">
        <x:v>1</x:v>
      </x:c>
      <x:c r="L13" s="12" t="str">
        <x:f>IF(G13="Completed",IF(J13&lt;=K13,"Within SLA","Late"),IF(TODAY()&lt;=H13,"Within SLA","Overdue"))</x:f>
        <x:v>Within SLA</x:v>
      </x:c>
      <x:c r="M13" s="12" t="str">
        <x:v>Complete</x:v>
      </x:c>
      <x:c r="N13" s="12" t="str">
        <x:v>Unique</x:v>
      </x:c>
      <x:c r="O13" s="12" t="str"/>
    </x:row>
    <x:row r="14">
      <x:c r="A14" s="12" t="str">
        <x:v>ADM-0013</x:v>
      </x:c>
      <x:c r="B14" s="14" t="n">
        <x:v>46221</x:v>
      </x:c>
      <x:c r="C14" s="12" t="str">
        <x:v>Contract</x:v>
      </x:c>
      <x:c r="D14" s="12" t="str">
        <x:v>Requester 26</x:v>
      </x:c>
      <x:c r="E14" s="12" t="str">
        <x:v>Admin D</x:v>
      </x:c>
      <x:c r="F14" s="12" t="str">
        <x:v>Low</x:v>
      </x:c>
      <x:c r="G14" s="12" t="str">
        <x:v>Completed</x:v>
      </x:c>
      <x:c r="H14" s="14" t="n">
        <x:v>46226</x:v>
      </x:c>
      <x:c r="I14" s="14" t="n">
        <x:v>46226</x:v>
      </x:c>
      <x:c r="J14" s="12" t="n">
        <x:f>IF(I14&lt;&gt;"",I14-B14,TODAY()-B14)</x:f>
        <x:v>5</x:v>
      </x:c>
      <x:c r="K14" s="12" t="n">
        <x:v>5</x:v>
      </x:c>
      <x:c r="L14" s="12" t="str">
        <x:f>IF(G14="Completed",IF(J14&lt;=K14,"Within SLA","Late"),IF(TODAY()&lt;=H14,"Within SLA","Overdue"))</x:f>
        <x:v>Within SLA</x:v>
      </x:c>
      <x:c r="M14" s="12" t="str">
        <x:v>Complete</x:v>
      </x:c>
      <x:c r="N14" s="12" t="str">
        <x:v>Unique</x:v>
      </x:c>
      <x:c r="O14" s="12" t="str"/>
    </x:row>
    <x:row r="15">
      <x:c r="A15" s="12" t="str">
        <x:v>ADM-0014</x:v>
      </x:c>
      <x:c r="B15" s="14" t="n">
        <x:v>46213</x:v>
      </x:c>
      <x:c r="C15" s="12" t="str">
        <x:v>Contract</x:v>
      </x:c>
      <x:c r="D15" s="12" t="str">
        <x:v>Requester 38</x:v>
      </x:c>
      <x:c r="E15" s="12" t="str">
        <x:v>Admin D</x:v>
      </x:c>
      <x:c r="F15" s="12" t="str">
        <x:v>Low</x:v>
      </x:c>
      <x:c r="G15" s="12" t="str">
        <x:v>Completed</x:v>
      </x:c>
      <x:c r="H15" s="14" t="n">
        <x:v>46218</x:v>
      </x:c>
      <x:c r="I15" s="14" t="n">
        <x:v>46217</x:v>
      </x:c>
      <x:c r="J15" s="12" t="n">
        <x:f>IF(I15&lt;&gt;"",I15-B15,TODAY()-B15)</x:f>
        <x:v>4</x:v>
      </x:c>
      <x:c r="K15" s="12" t="n">
        <x:v>5</x:v>
      </x:c>
      <x:c r="L15" s="12" t="str">
        <x:f>IF(G15="Completed",IF(J15&lt;=K15,"Within SLA","Late"),IF(TODAY()&lt;=H15,"Within SLA","Overdue"))</x:f>
        <x:v>Within SLA</x:v>
      </x:c>
      <x:c r="M15" s="12" t="str">
        <x:v>Complete</x:v>
      </x:c>
      <x:c r="N15" s="12" t="str">
        <x:v>Unique</x:v>
      </x:c>
      <x:c r="O15" s="12" t="str"/>
    </x:row>
    <x:row r="16">
      <x:c r="A16" s="12" t="str">
        <x:v>ADM-0015</x:v>
      </x:c>
      <x:c r="B16" s="14" t="n">
        <x:v>46227</x:v>
      </x:c>
      <x:c r="C16" s="12" t="str">
        <x:v>Invoice</x:v>
      </x:c>
      <x:c r="D16" s="12" t="str">
        <x:v>Requester 04</x:v>
      </x:c>
      <x:c r="E16" s="12" t="str">
        <x:v>Admin A</x:v>
      </x:c>
      <x:c r="F16" s="12" t="str">
        <x:v>High</x:v>
      </x:c>
      <x:c r="G16" s="12" t="str">
        <x:v>Completed</x:v>
      </x:c>
      <x:c r="H16" s="14" t="n">
        <x:v>46228</x:v>
      </x:c>
      <x:c r="I16" s="14" t="n">
        <x:v>46229</x:v>
      </x:c>
      <x:c r="J16" s="12" t="n">
        <x:f>IF(I16&lt;&gt;"",I16-B16,TODAY()-B16)</x:f>
        <x:v>2</x:v>
      </x:c>
      <x:c r="K16" s="12" t="n">
        <x:v>1</x:v>
      </x:c>
      <x:c r="L16" s="12" t="str">
        <x:f>IF(G16="Completed",IF(J16&lt;=K16,"Within SLA","Late"),IF(TODAY()&lt;=H16,"Within SLA","Overdue"))</x:f>
        <x:v>Late</x:v>
      </x:c>
      <x:c r="M16" s="12" t="str">
        <x:v>Complete</x:v>
      </x:c>
      <x:c r="N16" s="12" t="str">
        <x:v>Unique</x:v>
      </x:c>
      <x:c r="O16" s="12" t="str"/>
    </x:row>
    <x:row r="17">
      <x:c r="A17" s="12" t="str">
        <x:v>ADM-0016</x:v>
      </x:c>
      <x:c r="B17" s="14" t="n">
        <x:v>46213</x:v>
      </x:c>
      <x:c r="C17" s="12" t="str">
        <x:v>Customer Form</x:v>
      </x:c>
      <x:c r="D17" s="12" t="str">
        <x:v>Requester 05</x:v>
      </x:c>
      <x:c r="E17" s="12" t="str">
        <x:v>Admin D</x:v>
      </x:c>
      <x:c r="F17" s="12" t="str">
        <x:v>Low</x:v>
      </x:c>
      <x:c r="G17" s="12" t="str">
        <x:v>Escalated</x:v>
      </x:c>
      <x:c r="H17" s="14" t="n">
        <x:v>46218</x:v>
      </x:c>
      <x:c r="I17" s="14"/>
      <x:c r="J17" s="12" t="n">
        <x:f>IF(I17&lt;&gt;"",I17-B17,TODAY()-B17)</x:f>
        <x:v>43</x:v>
      </x:c>
      <x:c r="K17" s="12" t="n">
        <x:v>5</x:v>
      </x:c>
      <x:c r="L17" s="12" t="str">
        <x:f>IF(G17="Completed",IF(J17&lt;=K17,"Within SLA","Late"),IF(TODAY()&lt;=H17,"Within SLA","Overdue"))</x:f>
        <x:v>Overdue</x:v>
      </x:c>
      <x:c r="M17" s="12" t="str">
        <x:v>Complete</x:v>
      </x:c>
      <x:c r="N17" s="12" t="str">
        <x:v>Unique</x:v>
      </x:c>
      <x:c r="O17" s="12" t="str"/>
    </x:row>
    <x:row r="18">
      <x:c r="A18" s="12" t="str">
        <x:v>ADM-0017</x:v>
      </x:c>
      <x:c r="B18" s="14" t="n">
        <x:v>46228</x:v>
      </x:c>
      <x:c r="C18" s="12" t="str">
        <x:v>Customer Form</x:v>
      </x:c>
      <x:c r="D18" s="12" t="str">
        <x:v>Requester 01</x:v>
      </x:c>
      <x:c r="E18" s="12" t="str">
        <x:v>Admin A</x:v>
      </x:c>
      <x:c r="F18" s="12" t="str">
        <x:v>High</x:v>
      </x:c>
      <x:c r="G18" s="12" t="str">
        <x:v>Incomplete</x:v>
      </x:c>
      <x:c r="H18" s="14" t="n">
        <x:v>46229</x:v>
      </x:c>
      <x:c r="I18" s="14"/>
      <x:c r="J18" s="12" t="n">
        <x:f>IF(I18&lt;&gt;"",I18-B18,TODAY()-B18)</x:f>
        <x:v>28</x:v>
      </x:c>
      <x:c r="K18" s="12" t="n">
        <x:v>1</x:v>
      </x:c>
      <x:c r="L18" s="12" t="str">
        <x:f>IF(G18="Completed",IF(J18&lt;=K18,"Within SLA","Late"),IF(TODAY()&lt;=H18,"Within SLA","Overdue"))</x:f>
        <x:v>Overdue</x:v>
      </x:c>
      <x:c r="M18" s="12" t="str">
        <x:v>Complete</x:v>
      </x:c>
      <x:c r="N18" s="12" t="str">
        <x:v>Unique</x:v>
      </x:c>
      <x:c r="O18" s="12" t="str"/>
    </x:row>
    <x:row r="19">
      <x:c r="A19" s="12" t="str">
        <x:v>ADM-0018</x:v>
      </x:c>
      <x:c r="B19" s="14" t="n">
        <x:v>46247</x:v>
      </x:c>
      <x:c r="C19" s="12" t="str">
        <x:v>Delivery Note</x:v>
      </x:c>
      <x:c r="D19" s="12" t="str">
        <x:v>Requester 08</x:v>
      </x:c>
      <x:c r="E19" s="12" t="str">
        <x:v>Admin C</x:v>
      </x:c>
      <x:c r="F19" s="12" t="str">
        <x:v>Medium</x:v>
      </x:c>
      <x:c r="G19" s="12" t="str">
        <x:v>Incomplete</x:v>
      </x:c>
      <x:c r="H19" s="14" t="n">
        <x:v>46250</x:v>
      </x:c>
      <x:c r="I19" s="14"/>
      <x:c r="J19" s="12" t="n">
        <x:f>IF(I19&lt;&gt;"",I19-B19,TODAY()-B19)</x:f>
        <x:v>9</x:v>
      </x:c>
      <x:c r="K19" s="12" t="n">
        <x:v>3</x:v>
      </x:c>
      <x:c r="L19" s="12" t="str">
        <x:f>IF(G19="Completed",IF(J19&lt;=K19,"Within SLA","Late"),IF(TODAY()&lt;=H19,"Within SLA","Overdue"))</x:f>
        <x:v>Overdue</x:v>
      </x:c>
      <x:c r="M19" s="12" t="str">
        <x:v>Complete</x:v>
      </x:c>
      <x:c r="N19" s="12" t="str">
        <x:v>Unique</x:v>
      </x:c>
      <x:c r="O19" s="12" t="str"/>
    </x:row>
    <x:row r="20">
      <x:c r="A20" s="12" t="str">
        <x:v>ADM-0019</x:v>
      </x:c>
      <x:c r="B20" s="14" t="n">
        <x:v>46231</x:v>
      </x:c>
      <x:c r="C20" s="12" t="str">
        <x:v>Other</x:v>
      </x:c>
      <x:c r="D20" s="12" t="str">
        <x:v>Requester 12</x:v>
      </x:c>
      <x:c r="E20" s="12" t="str">
        <x:v>Admin A</x:v>
      </x:c>
      <x:c r="F20" s="12" t="str">
        <x:v>Medium</x:v>
      </x:c>
      <x:c r="G20" s="12" t="str">
        <x:v>Completed</x:v>
      </x:c>
      <x:c r="H20" s="14" t="n">
        <x:v>46234</x:v>
      </x:c>
      <x:c r="I20" s="14" t="n">
        <x:v>46235</x:v>
      </x:c>
      <x:c r="J20" s="12" t="n">
        <x:f>IF(I20&lt;&gt;"",I20-B20,TODAY()-B20)</x:f>
        <x:v>4</x:v>
      </x:c>
      <x:c r="K20" s="12" t="n">
        <x:v>3</x:v>
      </x:c>
      <x:c r="L20" s="12" t="str">
        <x:f>IF(G20="Completed",IF(J20&lt;=K20,"Within SLA","Late"),IF(TODAY()&lt;=H20,"Within SLA","Overdue"))</x:f>
        <x:v>Late</x:v>
      </x:c>
      <x:c r="M20" s="12" t="str">
        <x:v>Missing Document</x:v>
      </x:c>
      <x:c r="N20" s="12" t="str">
        <x:v>Unique</x:v>
      </x:c>
      <x:c r="O20" s="12" t="str"/>
    </x:row>
    <x:row r="21">
      <x:c r="A21" s="12" t="str">
        <x:v>ADM-0020</x:v>
      </x:c>
      <x:c r="B21" s="14" t="n">
        <x:v>46244</x:v>
      </x:c>
      <x:c r="C21" s="12" t="str">
        <x:v>Other</x:v>
      </x:c>
      <x:c r="D21" s="12" t="str">
        <x:v>Requester 11</x:v>
      </x:c>
      <x:c r="E21" s="12" t="str">
        <x:v>Admin A</x:v>
      </x:c>
      <x:c r="F21" s="12" t="str">
        <x:v>High</x:v>
      </x:c>
      <x:c r="G21" s="12" t="str">
        <x:v>Completed</x:v>
      </x:c>
      <x:c r="H21" s="14" t="n">
        <x:v>46245</x:v>
      </x:c>
      <x:c r="I21" s="14" t="n">
        <x:v>46247</x:v>
      </x:c>
      <x:c r="J21" s="12" t="n">
        <x:f>IF(I21&lt;&gt;"",I21-B21,TODAY()-B21)</x:f>
        <x:v>3</x:v>
      </x:c>
      <x:c r="K21" s="12" t="n">
        <x:v>1</x:v>
      </x:c>
      <x:c r="L21" s="12" t="str">
        <x:f>IF(G21="Completed",IF(J21&lt;=K21,"Within SLA","Late"),IF(TODAY()&lt;=H21,"Within SLA","Overdue"))</x:f>
        <x:v>Late</x:v>
      </x:c>
      <x:c r="M21" s="12" t="str">
        <x:v>Complete</x:v>
      </x:c>
      <x:c r="N21" s="12" t="str">
        <x:v>Unique</x:v>
      </x:c>
      <x:c r="O21" s="12" t="str"/>
    </x:row>
    <x:row r="22">
      <x:c r="A22" s="12" t="str">
        <x:v>ADM-0021</x:v>
      </x:c>
      <x:c r="B22" s="14" t="n">
        <x:v>46242</x:v>
      </x:c>
      <x:c r="C22" s="12" t="str">
        <x:v>Other</x:v>
      </x:c>
      <x:c r="D22" s="12" t="str">
        <x:v>Requester 20</x:v>
      </x:c>
      <x:c r="E22" s="12" t="str">
        <x:v>Admin B</x:v>
      </x:c>
      <x:c r="F22" s="12" t="str">
        <x:v>Medium</x:v>
      </x:c>
      <x:c r="G22" s="12" t="str">
        <x:v>Completed</x:v>
      </x:c>
      <x:c r="H22" s="14" t="n">
        <x:v>46245</x:v>
      </x:c>
      <x:c r="I22" s="14" t="n">
        <x:v>46243</x:v>
      </x:c>
      <x:c r="J22" s="12" t="n">
        <x:f>IF(I22&lt;&gt;"",I22-B22,TODAY()-B22)</x:f>
        <x:v>1</x:v>
      </x:c>
      <x:c r="K22" s="12" t="n">
        <x:v>3</x:v>
      </x:c>
      <x:c r="L22" s="12" t="str">
        <x:f>IF(G22="Completed",IF(J22&lt;=K22,"Within SLA","Late"),IF(TODAY()&lt;=H22,"Within SLA","Overdue"))</x:f>
        <x:v>Within SLA</x:v>
      </x:c>
      <x:c r="M22" s="12" t="str">
        <x:v>Missing Document</x:v>
      </x:c>
      <x:c r="N22" s="12" t="str">
        <x:v>Unique</x:v>
      </x:c>
      <x:c r="O22" s="12" t="str"/>
    </x:row>
    <x:row r="23">
      <x:c r="A23" s="12" t="str">
        <x:v>ADM-0022</x:v>
      </x:c>
      <x:c r="B23" s="14" t="n">
        <x:v>46207</x:v>
      </x:c>
      <x:c r="C23" s="12" t="str">
        <x:v>Contract</x:v>
      </x:c>
      <x:c r="D23" s="12" t="str">
        <x:v>Requester 05</x:v>
      </x:c>
      <x:c r="E23" s="12" t="str">
        <x:v>Admin B</x:v>
      </x:c>
      <x:c r="F23" s="12" t="str">
        <x:v>High</x:v>
      </x:c>
      <x:c r="G23" s="12" t="str">
        <x:v>Completed</x:v>
      </x:c>
      <x:c r="H23" s="14" t="n">
        <x:v>46208</x:v>
      </x:c>
      <x:c r="I23" s="14" t="n">
        <x:v>46208</x:v>
      </x:c>
      <x:c r="J23" s="12" t="n">
        <x:f>IF(I23&lt;&gt;"",I23-B23,TODAY()-B23)</x:f>
        <x:v>1</x:v>
      </x:c>
      <x:c r="K23" s="12" t="n">
        <x:v>1</x:v>
      </x:c>
      <x:c r="L23" s="12" t="str">
        <x:f>IF(G23="Completed",IF(J23&lt;=K23,"Within SLA","Late"),IF(TODAY()&lt;=H23,"Within SLA","Overdue"))</x:f>
        <x:v>Within SLA</x:v>
      </x:c>
      <x:c r="M23" s="12" t="str">
        <x:v>Complete</x:v>
      </x:c>
      <x:c r="N23" s="12" t="str">
        <x:v>Unique</x:v>
      </x:c>
      <x:c r="O23" s="12" t="str"/>
    </x:row>
    <x:row r="24">
      <x:c r="A24" s="12" t="str">
        <x:v>ADM-0023</x:v>
      </x:c>
      <x:c r="B24" s="14" t="n">
        <x:v>46212</x:v>
      </x:c>
      <x:c r="C24" s="12" t="str">
        <x:v>Delivery Note</x:v>
      </x:c>
      <x:c r="D24" s="12" t="str">
        <x:v>Requester 34</x:v>
      </x:c>
      <x:c r="E24" s="12" t="str">
        <x:v>Admin D</x:v>
      </x:c>
      <x:c r="F24" s="12" t="str">
        <x:v>Medium</x:v>
      </x:c>
      <x:c r="G24" s="12" t="str">
        <x:v>Escalated</x:v>
      </x:c>
      <x:c r="H24" s="14" t="n">
        <x:v>46215</x:v>
      </x:c>
      <x:c r="I24" s="14"/>
      <x:c r="J24" s="12" t="n">
        <x:f>IF(I24&lt;&gt;"",I24-B24,TODAY()-B24)</x:f>
        <x:v>44</x:v>
      </x:c>
      <x:c r="K24" s="12" t="n">
        <x:v>3</x:v>
      </x:c>
      <x:c r="L24" s="12" t="str">
        <x:f>IF(G24="Completed",IF(J24&lt;=K24,"Within SLA","Late"),IF(TODAY()&lt;=H24,"Within SLA","Overdue"))</x:f>
        <x:v>Overdue</x:v>
      </x:c>
      <x:c r="M24" s="12" t="str">
        <x:v>Complete</x:v>
      </x:c>
      <x:c r="N24" s="12" t="str">
        <x:v>Unique</x:v>
      </x:c>
      <x:c r="O24" s="12" t="str"/>
    </x:row>
    <x:row r="25">
      <x:c r="A25" s="12" t="str">
        <x:v>ADM-0024</x:v>
      </x:c>
      <x:c r="B25" s="14" t="n">
        <x:v>46217</x:v>
      </x:c>
      <x:c r="C25" s="12" t="str">
        <x:v>Vendor Form</x:v>
      </x:c>
      <x:c r="D25" s="12" t="str">
        <x:v>Requester 20</x:v>
      </x:c>
      <x:c r="E25" s="12" t="str">
        <x:v>Admin D</x:v>
      </x:c>
      <x:c r="F25" s="12" t="str">
        <x:v>Medium</x:v>
      </x:c>
      <x:c r="G25" s="12" t="str">
        <x:v>Incomplete</x:v>
      </x:c>
      <x:c r="H25" s="14" t="n">
        <x:v>46220</x:v>
      </x:c>
      <x:c r="I25" s="14"/>
      <x:c r="J25" s="12" t="n">
        <x:f>IF(I25&lt;&gt;"",I25-B25,TODAY()-B25)</x:f>
        <x:v>39</x:v>
      </x:c>
      <x:c r="K25" s="12" t="n">
        <x:v>3</x:v>
      </x:c>
      <x:c r="L25" s="12" t="str">
        <x:f>IF(G25="Completed",IF(J25&lt;=K25,"Within SLA","Late"),IF(TODAY()&lt;=H25,"Within SLA","Overdue"))</x:f>
        <x:v>Overdue</x:v>
      </x:c>
      <x:c r="M25" s="12" t="str">
        <x:v>Complete</x:v>
      </x:c>
      <x:c r="N25" s="12" t="str">
        <x:v>Unique</x:v>
      </x:c>
      <x:c r="O25" s="12" t="str"/>
    </x:row>
    <x:row r="26">
      <x:c r="A26" s="12" t="str">
        <x:v>ADM-0025</x:v>
      </x:c>
      <x:c r="B26" s="14" t="n">
        <x:v>46246</x:v>
      </x:c>
      <x:c r="C26" s="12" t="str">
        <x:v>Contract</x:v>
      </x:c>
      <x:c r="D26" s="12" t="str">
        <x:v>Requester 08</x:v>
      </x:c>
      <x:c r="E26" s="12" t="str">
        <x:v>Admin B</x:v>
      </x:c>
      <x:c r="F26" s="12" t="str">
        <x:v>Medium</x:v>
      </x:c>
      <x:c r="G26" s="12" t="str">
        <x:v>Escalated</x:v>
      </x:c>
      <x:c r="H26" s="14" t="n">
        <x:v>46249</x:v>
      </x:c>
      <x:c r="I26" s="14"/>
      <x:c r="J26" s="12" t="n">
        <x:f>IF(I26&lt;&gt;"",I26-B26,TODAY()-B26)</x:f>
        <x:v>10</x:v>
      </x:c>
      <x:c r="K26" s="12" t="n">
        <x:v>3</x:v>
      </x:c>
      <x:c r="L26" s="12" t="str">
        <x:f>IF(G26="Completed",IF(J26&lt;=K26,"Within SLA","Late"),IF(TODAY()&lt;=H26,"Within SLA","Overdue"))</x:f>
        <x:v>Overdue</x:v>
      </x:c>
      <x:c r="M26" s="12" t="str">
        <x:v>Complete</x:v>
      </x:c>
      <x:c r="N26" s="12" t="str">
        <x:v>Unique</x:v>
      </x:c>
      <x:c r="O26" s="12" t="str"/>
    </x:row>
    <x:row r="27">
      <x:c r="A27" s="12" t="str">
        <x:v>ADM-0026</x:v>
      </x:c>
      <x:c r="B27" s="14" t="n">
        <x:v>46218</x:v>
      </x:c>
      <x:c r="C27" s="12" t="str">
        <x:v>Invoice</x:v>
      </x:c>
      <x:c r="D27" s="12" t="str">
        <x:v>Requester 05</x:v>
      </x:c>
      <x:c r="E27" s="12" t="str">
        <x:v>Admin A</x:v>
      </x:c>
      <x:c r="F27" s="12" t="str">
        <x:v>Medium</x:v>
      </x:c>
      <x:c r="G27" s="12" t="str">
        <x:v>Completed</x:v>
      </x:c>
      <x:c r="H27" s="14" t="n">
        <x:v>46221</x:v>
      </x:c>
      <x:c r="I27" s="14" t="n">
        <x:v>46221</x:v>
      </x:c>
      <x:c r="J27" s="12" t="n">
        <x:f>IF(I27&lt;&gt;"",I27-B27,TODAY()-B27)</x:f>
        <x:v>3</x:v>
      </x:c>
      <x:c r="K27" s="12" t="n">
        <x:v>3</x:v>
      </x:c>
      <x:c r="L27" s="12" t="str">
        <x:f>IF(G27="Completed",IF(J27&lt;=K27,"Within SLA","Late"),IF(TODAY()&lt;=H27,"Within SLA","Overdue"))</x:f>
        <x:v>Within SLA</x:v>
      </x:c>
      <x:c r="M27" s="12" t="str">
        <x:v>Complete</x:v>
      </x:c>
      <x:c r="N27" s="12" t="str">
        <x:v>Unique</x:v>
      </x:c>
      <x:c r="O27" s="12" t="str"/>
    </x:row>
    <x:row r="28">
      <x:c r="A28" s="12" t="str">
        <x:v>ADM-0027</x:v>
      </x:c>
      <x:c r="B28" s="14" t="n">
        <x:v>46218</x:v>
      </x:c>
      <x:c r="C28" s="12" t="str">
        <x:v>Purchase Order</x:v>
      </x:c>
      <x:c r="D28" s="12" t="str">
        <x:v>Requester 18</x:v>
      </x:c>
      <x:c r="E28" s="12" t="str">
        <x:v>Admin D</x:v>
      </x:c>
      <x:c r="F28" s="12" t="str">
        <x:v>High</x:v>
      </x:c>
      <x:c r="G28" s="12" t="str">
        <x:v>Completed</x:v>
      </x:c>
      <x:c r="H28" s="14" t="n">
        <x:v>46219</x:v>
      </x:c>
      <x:c r="I28" s="14" t="n">
        <x:v>46223</x:v>
      </x:c>
      <x:c r="J28" s="12" t="n">
        <x:f>IF(I28&lt;&gt;"",I28-B28,TODAY()-B28)</x:f>
        <x:v>5</x:v>
      </x:c>
      <x:c r="K28" s="12" t="n">
        <x:v>1</x:v>
      </x:c>
      <x:c r="L28" s="12" t="str">
        <x:f>IF(G28="Completed",IF(J28&lt;=K28,"Within SLA","Late"),IF(TODAY()&lt;=H28,"Within SLA","Overdue"))</x:f>
        <x:v>Late</x:v>
      </x:c>
      <x:c r="M28" s="12" t="str">
        <x:v>Complete</x:v>
      </x:c>
      <x:c r="N28" s="12" t="str">
        <x:v>Unique</x:v>
      </x:c>
      <x:c r="O28" s="12" t="str"/>
    </x:row>
    <x:row r="29">
      <x:c r="A29" s="12" t="str">
        <x:v>ADM-0028</x:v>
      </x:c>
      <x:c r="B29" s="14" t="n">
        <x:v>46217</x:v>
      </x:c>
      <x:c r="C29" s="12" t="str">
        <x:v>Customer Form</x:v>
      </x:c>
      <x:c r="D29" s="12" t="str">
        <x:v>Requester 37</x:v>
      </x:c>
      <x:c r="E29" s="12" t="str">
        <x:v>Admin D</x:v>
      </x:c>
      <x:c r="F29" s="12" t="str">
        <x:v>Low</x:v>
      </x:c>
      <x:c r="G29" s="12" t="str">
        <x:v>Incomplete</x:v>
      </x:c>
      <x:c r="H29" s="14" t="n">
        <x:v>46222</x:v>
      </x:c>
      <x:c r="I29" s="14"/>
      <x:c r="J29" s="12" t="n">
        <x:f>IF(I29&lt;&gt;"",I29-B29,TODAY()-B29)</x:f>
        <x:v>39</x:v>
      </x:c>
      <x:c r="K29" s="12" t="n">
        <x:v>5</x:v>
      </x:c>
      <x:c r="L29" s="12" t="str">
        <x:f>IF(G29="Completed",IF(J29&lt;=K29,"Within SLA","Late"),IF(TODAY()&lt;=H29,"Within SLA","Overdue"))</x:f>
        <x:v>Overdue</x:v>
      </x:c>
      <x:c r="M29" s="12" t="str">
        <x:v>Missing Document</x:v>
      </x:c>
      <x:c r="N29" s="12" t="str">
        <x:v>Unique</x:v>
      </x:c>
      <x:c r="O29" s="12" t="str"/>
    </x:row>
    <x:row r="30">
      <x:c r="A30" s="12" t="str">
        <x:v>ADM-0029</x:v>
      </x:c>
      <x:c r="B30" s="14" t="n">
        <x:v>46219</x:v>
      </x:c>
      <x:c r="C30" s="12" t="str">
        <x:v>Invoice</x:v>
      </x:c>
      <x:c r="D30" s="12" t="str">
        <x:v>Requester 43</x:v>
      </x:c>
      <x:c r="E30" s="12" t="str">
        <x:v>Admin D</x:v>
      </x:c>
      <x:c r="F30" s="12" t="str">
        <x:v>High</x:v>
      </x:c>
      <x:c r="G30" s="12" t="str">
        <x:v>Pending Verification</x:v>
      </x:c>
      <x:c r="H30" s="14" t="n">
        <x:v>46220</x:v>
      </x:c>
      <x:c r="I30" s="14"/>
      <x:c r="J30" s="12" t="n">
        <x:f>IF(I30&lt;&gt;"",I30-B30,TODAY()-B30)</x:f>
        <x:v>37</x:v>
      </x:c>
      <x:c r="K30" s="12" t="n">
        <x:v>1</x:v>
      </x:c>
      <x:c r="L30" s="12" t="str">
        <x:f>IF(G30="Completed",IF(J30&lt;=K30,"Within SLA","Late"),IF(TODAY()&lt;=H30,"Within SLA","Overdue"))</x:f>
        <x:v>Overdue</x:v>
      </x:c>
      <x:c r="M30" s="12" t="str">
        <x:v>Complete</x:v>
      </x:c>
      <x:c r="N30" s="12" t="str">
        <x:v>Unique</x:v>
      </x:c>
      <x:c r="O30" s="12" t="str"/>
    </x:row>
    <x:row r="31">
      <x:c r="A31" s="12" t="str">
        <x:v>ADM-0030</x:v>
      </x:c>
      <x:c r="B31" s="14" t="n">
        <x:v>46226</x:v>
      </x:c>
      <x:c r="C31" s="12" t="str">
        <x:v>Invoice</x:v>
      </x:c>
      <x:c r="D31" s="12" t="str">
        <x:v>Requester 44</x:v>
      </x:c>
      <x:c r="E31" s="12" t="str">
        <x:v>Admin A</x:v>
      </x:c>
      <x:c r="F31" s="12" t="str">
        <x:v>Medium</x:v>
      </x:c>
      <x:c r="G31" s="12" t="str">
        <x:v>Pending Verification</x:v>
      </x:c>
      <x:c r="H31" s="14" t="n">
        <x:v>46229</x:v>
      </x:c>
      <x:c r="I31" s="14"/>
      <x:c r="J31" s="12" t="n">
        <x:f>IF(I31&lt;&gt;"",I31-B31,TODAY()-B31)</x:f>
        <x:v>30</x:v>
      </x:c>
      <x:c r="K31" s="12" t="n">
        <x:v>3</x:v>
      </x:c>
      <x:c r="L31" s="12" t="str">
        <x:f>IF(G31="Completed",IF(J31&lt;=K31,"Within SLA","Late"),IF(TODAY()&lt;=H31,"Within SLA","Overdue"))</x:f>
        <x:v>Overdue</x:v>
      </x:c>
      <x:c r="M31" s="12" t="str">
        <x:v>Complete</x:v>
      </x:c>
      <x:c r="N31" s="12" t="str">
        <x:v>Unique</x:v>
      </x:c>
      <x:c r="O31" s="12" t="str"/>
    </x:row>
    <x:row r="32">
      <x:c r="A32" s="12" t="str">
        <x:v>ADM-0031</x:v>
      </x:c>
      <x:c r="B32" s="14" t="n">
        <x:v>46207</x:v>
      </x:c>
      <x:c r="C32" s="12" t="str">
        <x:v>Invoice</x:v>
      </x:c>
      <x:c r="D32" s="12" t="str">
        <x:v>Requester 16</x:v>
      </x:c>
      <x:c r="E32" s="12" t="str">
        <x:v>Admin B</x:v>
      </x:c>
      <x:c r="F32" s="12" t="str">
        <x:v>Medium</x:v>
      </x:c>
      <x:c r="G32" s="12" t="str">
        <x:v>Pending Verification</x:v>
      </x:c>
      <x:c r="H32" s="14" t="n">
        <x:v>46210</x:v>
      </x:c>
      <x:c r="I32" s="14"/>
      <x:c r="J32" s="12" t="n">
        <x:f>IF(I32&lt;&gt;"",I32-B32,TODAY()-B32)</x:f>
        <x:v>49</x:v>
      </x:c>
      <x:c r="K32" s="12" t="n">
        <x:v>3</x:v>
      </x:c>
      <x:c r="L32" s="12" t="str">
        <x:f>IF(G32="Completed",IF(J32&lt;=K32,"Within SLA","Late"),IF(TODAY()&lt;=H32,"Within SLA","Overdue"))</x:f>
        <x:v>Overdue</x:v>
      </x:c>
      <x:c r="M32" s="12" t="str">
        <x:v>Complete</x:v>
      </x:c>
      <x:c r="N32" s="12" t="str">
        <x:v>Unique</x:v>
      </x:c>
      <x:c r="O32" s="12" t="str"/>
    </x:row>
    <x:row r="33">
      <x:c r="A33" s="12" t="str">
        <x:v>ADM-0032</x:v>
      </x:c>
      <x:c r="B33" s="14" t="n">
        <x:v>46216</x:v>
      </x:c>
      <x:c r="C33" s="12" t="str">
        <x:v>Delivery Note</x:v>
      </x:c>
      <x:c r="D33" s="12" t="str">
        <x:v>Requester 30</x:v>
      </x:c>
      <x:c r="E33" s="12" t="str">
        <x:v>Admin B</x:v>
      </x:c>
      <x:c r="F33" s="12" t="str">
        <x:v>Medium</x:v>
      </x:c>
      <x:c r="G33" s="12" t="str">
        <x:v>Incomplete</x:v>
      </x:c>
      <x:c r="H33" s="14" t="n">
        <x:v>46219</x:v>
      </x:c>
      <x:c r="I33" s="14"/>
      <x:c r="J33" s="12" t="n">
        <x:f>IF(I33&lt;&gt;"",I33-B33,TODAY()-B33)</x:f>
        <x:v>40</x:v>
      </x:c>
      <x:c r="K33" s="12" t="n">
        <x:v>3</x:v>
      </x:c>
      <x:c r="L33" s="12" t="str">
        <x:f>IF(G33="Completed",IF(J33&lt;=K33,"Within SLA","Late"),IF(TODAY()&lt;=H33,"Within SLA","Overdue"))</x:f>
        <x:v>Overdue</x:v>
      </x:c>
      <x:c r="M33" s="12" t="str">
        <x:v>Complete</x:v>
      </x:c>
      <x:c r="N33" s="12" t="str">
        <x:v>Unique</x:v>
      </x:c>
      <x:c r="O33" s="12" t="str"/>
    </x:row>
    <x:row r="34">
      <x:c r="A34" s="12" t="str">
        <x:v>ADM-0033</x:v>
      </x:c>
      <x:c r="B34" s="14" t="n">
        <x:v>46208</x:v>
      </x:c>
      <x:c r="C34" s="12" t="str">
        <x:v>Invoice</x:v>
      </x:c>
      <x:c r="D34" s="12" t="str">
        <x:v>Requester 04</x:v>
      </x:c>
      <x:c r="E34" s="12" t="str">
        <x:v>Admin A</x:v>
      </x:c>
      <x:c r="F34" s="12" t="str">
        <x:v>High</x:v>
      </x:c>
      <x:c r="G34" s="12" t="str">
        <x:v>Pending Verification</x:v>
      </x:c>
      <x:c r="H34" s="14" t="n">
        <x:v>46209</x:v>
      </x:c>
      <x:c r="I34" s="14"/>
      <x:c r="J34" s="12" t="n">
        <x:f>IF(I34&lt;&gt;"",I34-B34,TODAY()-B34)</x:f>
        <x:v>48</x:v>
      </x:c>
      <x:c r="K34" s="12" t="n">
        <x:v>1</x:v>
      </x:c>
      <x:c r="L34" s="12" t="str">
        <x:f>IF(G34="Completed",IF(J34&lt;=K34,"Within SLA","Late"),IF(TODAY()&lt;=H34,"Within SLA","Overdue"))</x:f>
        <x:v>Overdue</x:v>
      </x:c>
      <x:c r="M34" s="12" t="str">
        <x:v>Complete</x:v>
      </x:c>
      <x:c r="N34" s="12" t="str">
        <x:v>Unique</x:v>
      </x:c>
      <x:c r="O34" s="12" t="str"/>
    </x:row>
    <x:row r="35">
      <x:c r="A35" s="12" t="str">
        <x:v>ADM-0034</x:v>
      </x:c>
      <x:c r="B35" s="14" t="n">
        <x:v>46209</x:v>
      </x:c>
      <x:c r="C35" s="12" t="str">
        <x:v>Other</x:v>
      </x:c>
      <x:c r="D35" s="12" t="str">
        <x:v>Requester 26</x:v>
      </x:c>
      <x:c r="E35" s="12" t="str">
        <x:v>Admin A</x:v>
      </x:c>
      <x:c r="F35" s="12" t="str">
        <x:v>Low</x:v>
      </x:c>
      <x:c r="G35" s="12" t="str">
        <x:v>Completed</x:v>
      </x:c>
      <x:c r="H35" s="14" t="n">
        <x:v>46214</x:v>
      </x:c>
      <x:c r="I35" s="14" t="n">
        <x:v>46216</x:v>
      </x:c>
      <x:c r="J35" s="12" t="n">
        <x:f>IF(I35&lt;&gt;"",I35-B35,TODAY()-B35)</x:f>
        <x:v>7</x:v>
      </x:c>
      <x:c r="K35" s="12" t="n">
        <x:v>5</x:v>
      </x:c>
      <x:c r="L35" s="12" t="str">
        <x:f>IF(G35="Completed",IF(J35&lt;=K35,"Within SLA","Late"),IF(TODAY()&lt;=H35,"Within SLA","Overdue"))</x:f>
        <x:v>Late</x:v>
      </x:c>
      <x:c r="M35" s="12" t="str">
        <x:v>Complete</x:v>
      </x:c>
      <x:c r="N35" s="12" t="str">
        <x:v>Unique</x:v>
      </x:c>
      <x:c r="O35" s="12" t="str"/>
    </x:row>
    <x:row r="36">
      <x:c r="A36" s="12" t="str">
        <x:v>ADM-0035</x:v>
      </x:c>
      <x:c r="B36" s="14" t="n">
        <x:v>46214</x:v>
      </x:c>
      <x:c r="C36" s="12" t="str">
        <x:v>Other</x:v>
      </x:c>
      <x:c r="D36" s="12" t="str">
        <x:v>Requester 30</x:v>
      </x:c>
      <x:c r="E36" s="12" t="str">
        <x:v>Admin C</x:v>
      </x:c>
      <x:c r="F36" s="12" t="str">
        <x:v>Low</x:v>
      </x:c>
      <x:c r="G36" s="12" t="str">
        <x:v>Pending Verification</x:v>
      </x:c>
      <x:c r="H36" s="14" t="n">
        <x:v>46219</x:v>
      </x:c>
      <x:c r="I36" s="14"/>
      <x:c r="J36" s="12" t="n">
        <x:f>IF(I36&lt;&gt;"",I36-B36,TODAY()-B36)</x:f>
        <x:v>42</x:v>
      </x:c>
      <x:c r="K36" s="12" t="n">
        <x:v>5</x:v>
      </x:c>
      <x:c r="L36" s="12" t="str">
        <x:f>IF(G36="Completed",IF(J36&lt;=K36,"Within SLA","Late"),IF(TODAY()&lt;=H36,"Within SLA","Overdue"))</x:f>
        <x:v>Overdue</x:v>
      </x:c>
      <x:c r="M36" s="12" t="str">
        <x:v>Complete</x:v>
      </x:c>
      <x:c r="N36" s="12" t="str">
        <x:v>Unique</x:v>
      </x:c>
      <x:c r="O36" s="12" t="str"/>
    </x:row>
    <x:row r="37">
      <x:c r="A37" s="12" t="str">
        <x:v>ADM-0036</x:v>
      </x:c>
      <x:c r="B37" s="14" t="n">
        <x:v>46231</x:v>
      </x:c>
      <x:c r="C37" s="12" t="str">
        <x:v>Customer Form</x:v>
      </x:c>
      <x:c r="D37" s="12" t="str">
        <x:v>Requester 43</x:v>
      </x:c>
      <x:c r="E37" s="12" t="str">
        <x:v>Admin D</x:v>
      </x:c>
      <x:c r="F37" s="12" t="str">
        <x:v>High</x:v>
      </x:c>
      <x:c r="G37" s="12" t="str">
        <x:v>Escalated</x:v>
      </x:c>
      <x:c r="H37" s="14" t="n">
        <x:v>46232</x:v>
      </x:c>
      <x:c r="I37" s="14"/>
      <x:c r="J37" s="12" t="n">
        <x:f>IF(I37&lt;&gt;"",I37-B37,TODAY()-B37)</x:f>
        <x:v>25</x:v>
      </x:c>
      <x:c r="K37" s="12" t="n">
        <x:v>1</x:v>
      </x:c>
      <x:c r="L37" s="12" t="str">
        <x:f>IF(G37="Completed",IF(J37&lt;=K37,"Within SLA","Late"),IF(TODAY()&lt;=H37,"Within SLA","Overdue"))</x:f>
        <x:v>Overdue</x:v>
      </x:c>
      <x:c r="M37" s="12" t="str">
        <x:v>Missing Document</x:v>
      </x:c>
      <x:c r="N37" s="12" t="str">
        <x:v>Unique</x:v>
      </x:c>
      <x:c r="O37" s="12" t="str"/>
    </x:row>
    <x:row r="38">
      <x:c r="A38" s="12" t="str">
        <x:v>ADM-0037</x:v>
      </x:c>
      <x:c r="B38" s="14" t="n">
        <x:v>46213</x:v>
      </x:c>
      <x:c r="C38" s="12" t="str">
        <x:v>Customer Form</x:v>
      </x:c>
      <x:c r="D38" s="12" t="str">
        <x:v>Requester 04</x:v>
      </x:c>
      <x:c r="E38" s="12" t="str">
        <x:v>Admin C</x:v>
      </x:c>
      <x:c r="F38" s="12" t="str">
        <x:v>Low</x:v>
      </x:c>
      <x:c r="G38" s="12" t="str">
        <x:v>Completed</x:v>
      </x:c>
      <x:c r="H38" s="14" t="n">
        <x:v>46218</x:v>
      </x:c>
      <x:c r="I38" s="14" t="n">
        <x:v>46213</x:v>
      </x:c>
      <x:c r="J38" s="12" t="n">
        <x:f>IF(I38&lt;&gt;"",I38-B38,TODAY()-B38)</x:f>
        <x:v>0</x:v>
      </x:c>
      <x:c r="K38" s="12" t="n">
        <x:v>5</x:v>
      </x:c>
      <x:c r="L38" s="12" t="str">
        <x:f>IF(G38="Completed",IF(J38&lt;=K38,"Within SLA","Late"),IF(TODAY()&lt;=H38,"Within SLA","Overdue"))</x:f>
        <x:v>Within SLA</x:v>
      </x:c>
      <x:c r="M38" s="12" t="str">
        <x:v>Complete</x:v>
      </x:c>
      <x:c r="N38" s="12" t="str">
        <x:v>Unique</x:v>
      </x:c>
      <x:c r="O38" s="12" t="str"/>
    </x:row>
    <x:row r="39">
      <x:c r="A39" s="12" t="str">
        <x:v>ADM-0038</x:v>
      </x:c>
      <x:c r="B39" s="14" t="n">
        <x:v>46207</x:v>
      </x:c>
      <x:c r="C39" s="12" t="str">
        <x:v>Customer Form</x:v>
      </x:c>
      <x:c r="D39" s="12" t="str">
        <x:v>Requester 06</x:v>
      </x:c>
      <x:c r="E39" s="12" t="str">
        <x:v>Admin B</x:v>
      </x:c>
      <x:c r="F39" s="12" t="str">
        <x:v>Medium</x:v>
      </x:c>
      <x:c r="G39" s="12" t="str">
        <x:v>Completed</x:v>
      </x:c>
      <x:c r="H39" s="14" t="n">
        <x:v>46210</x:v>
      </x:c>
      <x:c r="I39" s="14" t="n">
        <x:v>46209</x:v>
      </x:c>
      <x:c r="J39" s="12" t="n">
        <x:f>IF(I39&lt;&gt;"",I39-B39,TODAY()-B39)</x:f>
        <x:v>2</x:v>
      </x:c>
      <x:c r="K39" s="12" t="n">
        <x:v>3</x:v>
      </x:c>
      <x:c r="L39" s="12" t="str">
        <x:f>IF(G39="Completed",IF(J39&lt;=K39,"Within SLA","Late"),IF(TODAY()&lt;=H39,"Within SLA","Overdue"))</x:f>
        <x:v>Within SLA</x:v>
      </x:c>
      <x:c r="M39" s="12" t="str">
        <x:v>Complete</x:v>
      </x:c>
      <x:c r="N39" s="12" t="str">
        <x:v>Duplicate</x:v>
      </x:c>
      <x:c r="O39" s="12" t="str"/>
    </x:row>
    <x:row r="40">
      <x:c r="A40" s="12" t="str">
        <x:v>ADM-0039</x:v>
      </x:c>
      <x:c r="B40" s="14" t="n">
        <x:v>46208</x:v>
      </x:c>
      <x:c r="C40" s="12" t="str">
        <x:v>Contract</x:v>
      </x:c>
      <x:c r="D40" s="12" t="str">
        <x:v>Requester 08</x:v>
      </x:c>
      <x:c r="E40" s="12" t="str">
        <x:v>Admin B</x:v>
      </x:c>
      <x:c r="F40" s="12" t="str">
        <x:v>Low</x:v>
      </x:c>
      <x:c r="G40" s="12" t="str">
        <x:v>Incomplete</x:v>
      </x:c>
      <x:c r="H40" s="14" t="n">
        <x:v>46213</x:v>
      </x:c>
      <x:c r="I40" s="14"/>
      <x:c r="J40" s="12" t="n">
        <x:f>IF(I40&lt;&gt;"",I40-B40,TODAY()-B40)</x:f>
        <x:v>48</x:v>
      </x:c>
      <x:c r="K40" s="12" t="n">
        <x:v>5</x:v>
      </x:c>
      <x:c r="L40" s="12" t="str">
        <x:f>IF(G40="Completed",IF(J40&lt;=K40,"Within SLA","Late"),IF(TODAY()&lt;=H40,"Within SLA","Overdue"))</x:f>
        <x:v>Overdue</x:v>
      </x:c>
      <x:c r="M40" s="12" t="str">
        <x:v>Complete</x:v>
      </x:c>
      <x:c r="N40" s="12" t="str">
        <x:v>Unique</x:v>
      </x:c>
      <x:c r="O40" s="12" t="str"/>
    </x:row>
    <x:row r="41">
      <x:c r="A41" s="12" t="str">
        <x:v>ADM-0040</x:v>
      </x:c>
      <x:c r="B41" s="14" t="n">
        <x:v>46241</x:v>
      </x:c>
      <x:c r="C41" s="12" t="str">
        <x:v>Vendor Form</x:v>
      </x:c>
      <x:c r="D41" s="12" t="str">
        <x:v>Requester 38</x:v>
      </x:c>
      <x:c r="E41" s="12" t="str">
        <x:v>Admin C</x:v>
      </x:c>
      <x:c r="F41" s="12" t="str">
        <x:v>Low</x:v>
      </x:c>
      <x:c r="G41" s="12" t="str">
        <x:v>Incomplete</x:v>
      </x:c>
      <x:c r="H41" s="14" t="n">
        <x:v>46246</x:v>
      </x:c>
      <x:c r="I41" s="14"/>
      <x:c r="J41" s="12" t="n">
        <x:f>IF(I41&lt;&gt;"",I41-B41,TODAY()-B41)</x:f>
        <x:v>15</x:v>
      </x:c>
      <x:c r="K41" s="12" t="n">
        <x:v>5</x:v>
      </x:c>
      <x:c r="L41" s="12" t="str">
        <x:f>IF(G41="Completed",IF(J41&lt;=K41,"Within SLA","Late"),IF(TODAY()&lt;=H41,"Within SLA","Overdue"))</x:f>
        <x:v>Overdue</x:v>
      </x:c>
      <x:c r="M41" s="12" t="str">
        <x:v>Complete</x:v>
      </x:c>
      <x:c r="N41" s="12" t="str">
        <x:v>Unique</x:v>
      </x:c>
      <x:c r="O41" s="12" t="str"/>
    </x:row>
    <x:row r="42">
      <x:c r="A42" s="12" t="str">
        <x:v>ADM-0041</x:v>
      </x:c>
      <x:c r="B42" s="14" t="n">
        <x:v>46220</x:v>
      </x:c>
      <x:c r="C42" s="12" t="str">
        <x:v>Contract</x:v>
      </x:c>
      <x:c r="D42" s="12" t="str">
        <x:v>Requester 09</x:v>
      </x:c>
      <x:c r="E42" s="12" t="str">
        <x:v>Admin C</x:v>
      </x:c>
      <x:c r="F42" s="12" t="str">
        <x:v>Medium</x:v>
      </x:c>
      <x:c r="G42" s="12" t="str">
        <x:v>Completed</x:v>
      </x:c>
      <x:c r="H42" s="14" t="n">
        <x:v>46223</x:v>
      </x:c>
      <x:c r="I42" s="14" t="n">
        <x:v>46225</x:v>
      </x:c>
      <x:c r="J42" s="12" t="n">
        <x:f>IF(I42&lt;&gt;"",I42-B42,TODAY()-B42)</x:f>
        <x:v>5</x:v>
      </x:c>
      <x:c r="K42" s="12" t="n">
        <x:v>3</x:v>
      </x:c>
      <x:c r="L42" s="12" t="str">
        <x:f>IF(G42="Completed",IF(J42&lt;=K42,"Within SLA","Late"),IF(TODAY()&lt;=H42,"Within SLA","Overdue"))</x:f>
        <x:v>Late</x:v>
      </x:c>
      <x:c r="M42" s="12" t="str">
        <x:v>Complete</x:v>
      </x:c>
      <x:c r="N42" s="12" t="str">
        <x:v>Unique</x:v>
      </x:c>
      <x:c r="O42" s="12" t="str"/>
    </x:row>
    <x:row r="43">
      <x:c r="A43" s="12" t="str">
        <x:v>ADM-0042</x:v>
      </x:c>
      <x:c r="B43" s="14" t="n">
        <x:v>46233</x:v>
      </x:c>
      <x:c r="C43" s="12" t="str">
        <x:v>Customer Form</x:v>
      </x:c>
      <x:c r="D43" s="12" t="str">
        <x:v>Requester 37</x:v>
      </x:c>
      <x:c r="E43" s="12" t="str">
        <x:v>Admin A</x:v>
      </x:c>
      <x:c r="F43" s="12" t="str">
        <x:v>High</x:v>
      </x:c>
      <x:c r="G43" s="12" t="str">
        <x:v>Completed</x:v>
      </x:c>
      <x:c r="H43" s="14" t="n">
        <x:v>46234</x:v>
      </x:c>
      <x:c r="I43" s="14" t="n">
        <x:v>46234</x:v>
      </x:c>
      <x:c r="J43" s="12" t="n">
        <x:f>IF(I43&lt;&gt;"",I43-B43,TODAY()-B43)</x:f>
        <x:v>1</x:v>
      </x:c>
      <x:c r="K43" s="12" t="n">
        <x:v>1</x:v>
      </x:c>
      <x:c r="L43" s="12" t="str">
        <x:f>IF(G43="Completed",IF(J43&lt;=K43,"Within SLA","Late"),IF(TODAY()&lt;=H43,"Within SLA","Overdue"))</x:f>
        <x:v>Within SLA</x:v>
      </x:c>
      <x:c r="M43" s="12" t="str">
        <x:v>Complete</x:v>
      </x:c>
      <x:c r="N43" s="12" t="str">
        <x:v>Unique</x:v>
      </x:c>
      <x:c r="O43" s="12" t="str"/>
    </x:row>
    <x:row r="44">
      <x:c r="A44" s="12" t="str">
        <x:v>ADM-0043</x:v>
      </x:c>
      <x:c r="B44" s="14" t="n">
        <x:v>46208</x:v>
      </x:c>
      <x:c r="C44" s="12" t="str">
        <x:v>Delivery Note</x:v>
      </x:c>
      <x:c r="D44" s="12" t="str">
        <x:v>Requester 05</x:v>
      </x:c>
      <x:c r="E44" s="12" t="str">
        <x:v>Admin B</x:v>
      </x:c>
      <x:c r="F44" s="12" t="str">
        <x:v>Low</x:v>
      </x:c>
      <x:c r="G44" s="12" t="str">
        <x:v>Incomplete</x:v>
      </x:c>
      <x:c r="H44" s="14" t="n">
        <x:v>46213</x:v>
      </x:c>
      <x:c r="I44" s="14"/>
      <x:c r="J44" s="12" t="n">
        <x:f>IF(I44&lt;&gt;"",I44-B44,TODAY()-B44)</x:f>
        <x:v>48</x:v>
      </x:c>
      <x:c r="K44" s="12" t="n">
        <x:v>5</x:v>
      </x:c>
      <x:c r="L44" s="12" t="str">
        <x:f>IF(G44="Completed",IF(J44&lt;=K44,"Within SLA","Late"),IF(TODAY()&lt;=H44,"Within SLA","Overdue"))</x:f>
        <x:v>Overdue</x:v>
      </x:c>
      <x:c r="M44" s="12" t="str">
        <x:v>Complete</x:v>
      </x:c>
      <x:c r="N44" s="12" t="str">
        <x:v>Unique</x:v>
      </x:c>
      <x:c r="O44" s="12" t="str"/>
    </x:row>
    <x:row r="45">
      <x:c r="A45" s="12" t="str">
        <x:v>ADM-0044</x:v>
      </x:c>
      <x:c r="B45" s="14" t="n">
        <x:v>46227</x:v>
      </x:c>
      <x:c r="C45" s="12" t="str">
        <x:v>Other</x:v>
      </x:c>
      <x:c r="D45" s="12" t="str">
        <x:v>Requester 42</x:v>
      </x:c>
      <x:c r="E45" s="12" t="str">
        <x:v>Admin A</x:v>
      </x:c>
      <x:c r="F45" s="12" t="str">
        <x:v>Low</x:v>
      </x:c>
      <x:c r="G45" s="12" t="str">
        <x:v>Completed</x:v>
      </x:c>
      <x:c r="H45" s="14" t="n">
        <x:v>46232</x:v>
      </x:c>
      <x:c r="I45" s="14" t="n">
        <x:v>46231</x:v>
      </x:c>
      <x:c r="J45" s="12" t="n">
        <x:f>IF(I45&lt;&gt;"",I45-B45,TODAY()-B45)</x:f>
        <x:v>4</x:v>
      </x:c>
      <x:c r="K45" s="12" t="n">
        <x:v>5</x:v>
      </x:c>
      <x:c r="L45" s="12" t="str">
        <x:f>IF(G45="Completed",IF(J45&lt;=K45,"Within SLA","Late"),IF(TODAY()&lt;=H45,"Within SLA","Overdue"))</x:f>
        <x:v>Within SLA</x:v>
      </x:c>
      <x:c r="M45" s="12" t="str">
        <x:v>Complete</x:v>
      </x:c>
      <x:c r="N45" s="12" t="str">
        <x:v>Unique</x:v>
      </x:c>
      <x:c r="O45" s="12" t="str"/>
    </x:row>
    <x:row r="46">
      <x:c r="A46" s="12" t="str">
        <x:v>ADM-0045</x:v>
      </x:c>
      <x:c r="B46" s="14" t="n">
        <x:v>46246</x:v>
      </x:c>
      <x:c r="C46" s="12" t="str">
        <x:v>Purchase Order</x:v>
      </x:c>
      <x:c r="D46" s="12" t="str">
        <x:v>Requester 17</x:v>
      </x:c>
      <x:c r="E46" s="12" t="str">
        <x:v>Admin A</x:v>
      </x:c>
      <x:c r="F46" s="12" t="str">
        <x:v>Low</x:v>
      </x:c>
      <x:c r="G46" s="12" t="str">
        <x:v>Incomplete</x:v>
      </x:c>
      <x:c r="H46" s="14" t="n">
        <x:v>46251</x:v>
      </x:c>
      <x:c r="I46" s="14"/>
      <x:c r="J46" s="12" t="n">
        <x:f>IF(I46&lt;&gt;"",I46-B46,TODAY()-B46)</x:f>
        <x:v>10</x:v>
      </x:c>
      <x:c r="K46" s="12" t="n">
        <x:v>5</x:v>
      </x:c>
      <x:c r="L46" s="12" t="str">
        <x:f>IF(G46="Completed",IF(J46&lt;=K46,"Within SLA","Late"),IF(TODAY()&lt;=H46,"Within SLA","Overdue"))</x:f>
        <x:v>Overdue</x:v>
      </x:c>
      <x:c r="M46" s="12" t="str">
        <x:v>Complete</x:v>
      </x:c>
      <x:c r="N46" s="12" t="str">
        <x:v>Unique</x:v>
      </x:c>
      <x:c r="O46" s="12" t="str"/>
    </x:row>
    <x:row r="47">
      <x:c r="A47" s="12" t="str">
        <x:v>ADM-0046</x:v>
      </x:c>
      <x:c r="B47" s="14" t="n">
        <x:v>46210</x:v>
      </x:c>
      <x:c r="C47" s="12" t="str">
        <x:v>Customer Form</x:v>
      </x:c>
      <x:c r="D47" s="12" t="str">
        <x:v>Requester 14</x:v>
      </x:c>
      <x:c r="E47" s="12" t="str">
        <x:v>Admin C</x:v>
      </x:c>
      <x:c r="F47" s="12" t="str">
        <x:v>Medium</x:v>
      </x:c>
      <x:c r="G47" s="12" t="str">
        <x:v>Escalated</x:v>
      </x:c>
      <x:c r="H47" s="14" t="n">
        <x:v>46213</x:v>
      </x:c>
      <x:c r="I47" s="14"/>
      <x:c r="J47" s="12" t="n">
        <x:f>IF(I47&lt;&gt;"",I47-B47,TODAY()-B47)</x:f>
        <x:v>46</x:v>
      </x:c>
      <x:c r="K47" s="12" t="n">
        <x:v>3</x:v>
      </x:c>
      <x:c r="L47" s="12" t="str">
        <x:f>IF(G47="Completed",IF(J47&lt;=K47,"Within SLA","Late"),IF(TODAY()&lt;=H47,"Within SLA","Overdue"))</x:f>
        <x:v>Overdue</x:v>
      </x:c>
      <x:c r="M47" s="12" t="str">
        <x:v>Complete</x:v>
      </x:c>
      <x:c r="N47" s="12" t="str">
        <x:v>Unique</x:v>
      </x:c>
      <x:c r="O47" s="12" t="str"/>
    </x:row>
    <x:row r="48">
      <x:c r="A48" s="12" t="str">
        <x:v>ADM-0047</x:v>
      </x:c>
      <x:c r="B48" s="14" t="n">
        <x:v>46217</x:v>
      </x:c>
      <x:c r="C48" s="12" t="str">
        <x:v>Contract</x:v>
      </x:c>
      <x:c r="D48" s="12" t="str">
        <x:v>Requester 17</x:v>
      </x:c>
      <x:c r="E48" s="12" t="str">
        <x:v>Admin A</x:v>
      </x:c>
      <x:c r="F48" s="12" t="str">
        <x:v>Medium</x:v>
      </x:c>
      <x:c r="G48" s="12" t="str">
        <x:v>Escalated</x:v>
      </x:c>
      <x:c r="H48" s="14" t="n">
        <x:v>46220</x:v>
      </x:c>
      <x:c r="I48" s="14"/>
      <x:c r="J48" s="12" t="n">
        <x:f>IF(I48&lt;&gt;"",I48-B48,TODAY()-B48)</x:f>
        <x:v>39</x:v>
      </x:c>
      <x:c r="K48" s="12" t="n">
        <x:v>3</x:v>
      </x:c>
      <x:c r="L48" s="12" t="str">
        <x:f>IF(G48="Completed",IF(J48&lt;=K48,"Within SLA","Late"),IF(TODAY()&lt;=H48,"Within SLA","Overdue"))</x:f>
        <x:v>Overdue</x:v>
      </x:c>
      <x:c r="M48" s="12" t="str">
        <x:v>Complete</x:v>
      </x:c>
      <x:c r="N48" s="12" t="str">
        <x:v>Unique</x:v>
      </x:c>
      <x:c r="O48" s="12" t="str"/>
    </x:row>
    <x:row r="49">
      <x:c r="A49" s="12" t="str">
        <x:v>ADM-0048</x:v>
      </x:c>
      <x:c r="B49" s="14" t="n">
        <x:v>46209</x:v>
      </x:c>
      <x:c r="C49" s="12" t="str">
        <x:v>Invoice</x:v>
      </x:c>
      <x:c r="D49" s="12" t="str">
        <x:v>Requester 22</x:v>
      </x:c>
      <x:c r="E49" s="12" t="str">
        <x:v>Admin B</x:v>
      </x:c>
      <x:c r="F49" s="12" t="str">
        <x:v>Medium</x:v>
      </x:c>
      <x:c r="G49" s="12" t="str">
        <x:v>Escalated</x:v>
      </x:c>
      <x:c r="H49" s="14" t="n">
        <x:v>46212</x:v>
      </x:c>
      <x:c r="I49" s="14"/>
      <x:c r="J49" s="12" t="n">
        <x:f>IF(I49&lt;&gt;"",I49-B49,TODAY()-B49)</x:f>
        <x:v>47</x:v>
      </x:c>
      <x:c r="K49" s="12" t="n">
        <x:v>3</x:v>
      </x:c>
      <x:c r="L49" s="12" t="str">
        <x:f>IF(G49="Completed",IF(J49&lt;=K49,"Within SLA","Late"),IF(TODAY()&lt;=H49,"Within SLA","Overdue"))</x:f>
        <x:v>Overdue</x:v>
      </x:c>
      <x:c r="M49" s="12" t="str">
        <x:v>Complete</x:v>
      </x:c>
      <x:c r="N49" s="12" t="str">
        <x:v>Unique</x:v>
      </x:c>
      <x:c r="O49" s="12" t="str"/>
    </x:row>
    <x:row r="50">
      <x:c r="A50" s="12" t="str">
        <x:v>ADM-0049</x:v>
      </x:c>
      <x:c r="B50" s="14" t="n">
        <x:v>46244</x:v>
      </x:c>
      <x:c r="C50" s="12" t="str">
        <x:v>Contract</x:v>
      </x:c>
      <x:c r="D50" s="12" t="str">
        <x:v>Requester 36</x:v>
      </x:c>
      <x:c r="E50" s="12" t="str">
        <x:v>Admin A</x:v>
      </x:c>
      <x:c r="F50" s="12" t="str">
        <x:v>Low</x:v>
      </x:c>
      <x:c r="G50" s="12" t="str">
        <x:v>Completed</x:v>
      </x:c>
      <x:c r="H50" s="14" t="n">
        <x:v>46249</x:v>
      </x:c>
      <x:c r="I50" s="14" t="n">
        <x:v>46251</x:v>
      </x:c>
      <x:c r="J50" s="12" t="n">
        <x:f>IF(I50&lt;&gt;"",I50-B50,TODAY()-B50)</x:f>
        <x:v>7</x:v>
      </x:c>
      <x:c r="K50" s="12" t="n">
        <x:v>5</x:v>
      </x:c>
      <x:c r="L50" s="12" t="str">
        <x:f>IF(G50="Completed",IF(J50&lt;=K50,"Within SLA","Late"),IF(TODAY()&lt;=H50,"Within SLA","Overdue"))</x:f>
        <x:v>Late</x:v>
      </x:c>
      <x:c r="M50" s="12" t="str">
        <x:v>Complete</x:v>
      </x:c>
      <x:c r="N50" s="12" t="str">
        <x:v>Unique</x:v>
      </x:c>
      <x:c r="O50" s="12" t="str"/>
    </x:row>
    <x:row r="51">
      <x:c r="A51" s="12" t="str">
        <x:v>ADM-0050</x:v>
      </x:c>
      <x:c r="B51" s="14" t="n">
        <x:v>46211</x:v>
      </x:c>
      <x:c r="C51" s="12" t="str">
        <x:v>Other</x:v>
      </x:c>
      <x:c r="D51" s="12" t="str">
        <x:v>Requester 24</x:v>
      </x:c>
      <x:c r="E51" s="12" t="str">
        <x:v>Admin B</x:v>
      </x:c>
      <x:c r="F51" s="12" t="str">
        <x:v>High</x:v>
      </x:c>
      <x:c r="G51" s="12" t="str">
        <x:v>Completed</x:v>
      </x:c>
      <x:c r="H51" s="14" t="n">
        <x:v>46212</x:v>
      </x:c>
      <x:c r="I51" s="14" t="n">
        <x:v>46213</x:v>
      </x:c>
      <x:c r="J51" s="12" t="n">
        <x:f>IF(I51&lt;&gt;"",I51-B51,TODAY()-B51)</x:f>
        <x:v>2</x:v>
      </x:c>
      <x:c r="K51" s="12" t="n">
        <x:v>1</x:v>
      </x:c>
      <x:c r="L51" s="12" t="str">
        <x:f>IF(G51="Completed",IF(J51&lt;=K51,"Within SLA","Late"),IF(TODAY()&lt;=H51,"Within SLA","Overdue"))</x:f>
        <x:v>Late</x:v>
      </x:c>
      <x:c r="M51" s="12" t="str">
        <x:v>Complete</x:v>
      </x:c>
      <x:c r="N51" s="12" t="str">
        <x:v>Unique</x:v>
      </x:c>
      <x:c r="O51" s="12" t="str"/>
    </x:row>
    <x:row r="52">
      <x:c r="A52" s="12" t="str">
        <x:v>ADM-0051</x:v>
      </x:c>
      <x:c r="B52" s="14" t="n">
        <x:v>46231</x:v>
      </x:c>
      <x:c r="C52" s="12" t="str">
        <x:v>Other</x:v>
      </x:c>
      <x:c r="D52" s="12" t="str">
        <x:v>Requester 03</x:v>
      </x:c>
      <x:c r="E52" s="12" t="str">
        <x:v>Admin C</x:v>
      </x:c>
      <x:c r="F52" s="12" t="str">
        <x:v>Low</x:v>
      </x:c>
      <x:c r="G52" s="12" t="str">
        <x:v>Completed</x:v>
      </x:c>
      <x:c r="H52" s="14" t="n">
        <x:v>46236</x:v>
      </x:c>
      <x:c r="I52" s="14" t="n">
        <x:v>46236</x:v>
      </x:c>
      <x:c r="J52" s="12" t="n">
        <x:f>IF(I52&lt;&gt;"",I52-B52,TODAY()-B52)</x:f>
        <x:v>5</x:v>
      </x:c>
      <x:c r="K52" s="12" t="n">
        <x:v>5</x:v>
      </x:c>
      <x:c r="L52" s="12" t="str">
        <x:f>IF(G52="Completed",IF(J52&lt;=K52,"Within SLA","Late"),IF(TODAY()&lt;=H52,"Within SLA","Overdue"))</x:f>
        <x:v>Within SLA</x:v>
      </x:c>
      <x:c r="M52" s="12" t="str">
        <x:v>Complete</x:v>
      </x:c>
      <x:c r="N52" s="12" t="str">
        <x:v>Unique</x:v>
      </x:c>
      <x:c r="O52" s="12" t="str"/>
    </x:row>
    <x:row r="53">
      <x:c r="A53" s="12" t="str">
        <x:v>ADM-0052</x:v>
      </x:c>
      <x:c r="B53" s="14" t="n">
        <x:v>46217</x:v>
      </x:c>
      <x:c r="C53" s="12" t="str">
        <x:v>Other</x:v>
      </x:c>
      <x:c r="D53" s="12" t="str">
        <x:v>Requester 36</x:v>
      </x:c>
      <x:c r="E53" s="12" t="str">
        <x:v>Admin D</x:v>
      </x:c>
      <x:c r="F53" s="12" t="str">
        <x:v>Low</x:v>
      </x:c>
      <x:c r="G53" s="12" t="str">
        <x:v>Escalated</x:v>
      </x:c>
      <x:c r="H53" s="14" t="n">
        <x:v>46222</x:v>
      </x:c>
      <x:c r="I53" s="14"/>
      <x:c r="J53" s="12" t="n">
        <x:f>IF(I53&lt;&gt;"",I53-B53,TODAY()-B53)</x:f>
        <x:v>39</x:v>
      </x:c>
      <x:c r="K53" s="12" t="n">
        <x:v>5</x:v>
      </x:c>
      <x:c r="L53" s="12" t="str">
        <x:f>IF(G53="Completed",IF(J53&lt;=K53,"Within SLA","Late"),IF(TODAY()&lt;=H53,"Within SLA","Overdue"))</x:f>
        <x:v>Overdue</x:v>
      </x:c>
      <x:c r="M53" s="12" t="str">
        <x:v>Complete</x:v>
      </x:c>
      <x:c r="N53" s="12" t="str">
        <x:v>Unique</x:v>
      </x:c>
      <x:c r="O53" s="12" t="str"/>
    </x:row>
    <x:row r="54">
      <x:c r="A54" s="12" t="str">
        <x:v>ADM-0053</x:v>
      </x:c>
      <x:c r="B54" s="14" t="n">
        <x:v>46243</x:v>
      </x:c>
      <x:c r="C54" s="12" t="str">
        <x:v>Other</x:v>
      </x:c>
      <x:c r="D54" s="12" t="str">
        <x:v>Requester 11</x:v>
      </x:c>
      <x:c r="E54" s="12" t="str">
        <x:v>Admin B</x:v>
      </x:c>
      <x:c r="F54" s="12" t="str">
        <x:v>Low</x:v>
      </x:c>
      <x:c r="G54" s="12" t="str">
        <x:v>Escalated</x:v>
      </x:c>
      <x:c r="H54" s="14" t="n">
        <x:v>46248</x:v>
      </x:c>
      <x:c r="I54" s="14"/>
      <x:c r="J54" s="12" t="n">
        <x:f>IF(I54&lt;&gt;"",I54-B54,TODAY()-B54)</x:f>
        <x:v>13</x:v>
      </x:c>
      <x:c r="K54" s="12" t="n">
        <x:v>5</x:v>
      </x:c>
      <x:c r="L54" s="12" t="str">
        <x:f>IF(G54="Completed",IF(J54&lt;=K54,"Within SLA","Late"),IF(TODAY()&lt;=H54,"Within SLA","Overdue"))</x:f>
        <x:v>Overdue</x:v>
      </x:c>
      <x:c r="M54" s="12" t="str">
        <x:v>Missing Document</x:v>
      </x:c>
      <x:c r="N54" s="12" t="str">
        <x:v>Unique</x:v>
      </x:c>
      <x:c r="O54" s="12" t="str"/>
    </x:row>
    <x:row r="55">
      <x:c r="A55" s="12" t="str">
        <x:v>ADM-0054</x:v>
      </x:c>
      <x:c r="B55" s="14" t="n">
        <x:v>46230</x:v>
      </x:c>
      <x:c r="C55" s="12" t="str">
        <x:v>Contract</x:v>
      </x:c>
      <x:c r="D55" s="12" t="str">
        <x:v>Requester 43</x:v>
      </x:c>
      <x:c r="E55" s="12" t="str">
        <x:v>Admin B</x:v>
      </x:c>
      <x:c r="F55" s="12" t="str">
        <x:v>Low</x:v>
      </x:c>
      <x:c r="G55" s="12" t="str">
        <x:v>Completed</x:v>
      </x:c>
      <x:c r="H55" s="14" t="n">
        <x:v>46235</x:v>
      </x:c>
      <x:c r="I55" s="14" t="n">
        <x:v>46235</x:v>
      </x:c>
      <x:c r="J55" s="12" t="n">
        <x:f>IF(I55&lt;&gt;"",I55-B55,TODAY()-B55)</x:f>
        <x:v>5</x:v>
      </x:c>
      <x:c r="K55" s="12" t="n">
        <x:v>5</x:v>
      </x:c>
      <x:c r="L55" s="12" t="str">
        <x:f>IF(G55="Completed",IF(J55&lt;=K55,"Within SLA","Late"),IF(TODAY()&lt;=H55,"Within SLA","Overdue"))</x:f>
        <x:v>Within SLA</x:v>
      </x:c>
      <x:c r="M55" s="12" t="str">
        <x:v>Complete</x:v>
      </x:c>
      <x:c r="N55" s="12" t="str">
        <x:v>Unique</x:v>
      </x:c>
      <x:c r="O55" s="12" t="str"/>
    </x:row>
    <x:row r="56">
      <x:c r="A56" s="12" t="str">
        <x:v>ADM-0055</x:v>
      </x:c>
      <x:c r="B56" s="14" t="n">
        <x:v>46221</x:v>
      </x:c>
      <x:c r="C56" s="12" t="str">
        <x:v>Invoice</x:v>
      </x:c>
      <x:c r="D56" s="12" t="str">
        <x:v>Requester 31</x:v>
      </x:c>
      <x:c r="E56" s="12" t="str">
        <x:v>Admin B</x:v>
      </x:c>
      <x:c r="F56" s="12" t="str">
        <x:v>Medium</x:v>
      </x:c>
      <x:c r="G56" s="12" t="str">
        <x:v>Completed</x:v>
      </x:c>
      <x:c r="H56" s="14" t="n">
        <x:v>46224</x:v>
      </x:c>
      <x:c r="I56" s="14" t="n">
        <x:v>46222</x:v>
      </x:c>
      <x:c r="J56" s="12" t="n">
        <x:f>IF(I56&lt;&gt;"",I56-B56,TODAY()-B56)</x:f>
        <x:v>1</x:v>
      </x:c>
      <x:c r="K56" s="12" t="n">
        <x:v>3</x:v>
      </x:c>
      <x:c r="L56" s="12" t="str">
        <x:f>IF(G56="Completed",IF(J56&lt;=K56,"Within SLA","Late"),IF(TODAY()&lt;=H56,"Within SLA","Overdue"))</x:f>
        <x:v>Within SLA</x:v>
      </x:c>
      <x:c r="M56" s="12" t="str">
        <x:v>Complete</x:v>
      </x:c>
      <x:c r="N56" s="12" t="str">
        <x:v>Unique</x:v>
      </x:c>
      <x:c r="O56" s="12" t="str"/>
    </x:row>
    <x:row r="57">
      <x:c r="A57" s="12" t="str">
        <x:v>ADM-0056</x:v>
      </x:c>
      <x:c r="B57" s="14" t="n">
        <x:v>46216</x:v>
      </x:c>
      <x:c r="C57" s="12" t="str">
        <x:v>Other</x:v>
      </x:c>
      <x:c r="D57" s="12" t="str">
        <x:v>Requester 15</x:v>
      </x:c>
      <x:c r="E57" s="12" t="str">
        <x:v>Admin B</x:v>
      </x:c>
      <x:c r="F57" s="12" t="str">
        <x:v>Medium</x:v>
      </x:c>
      <x:c r="G57" s="12" t="str">
        <x:v>Pending Verification</x:v>
      </x:c>
      <x:c r="H57" s="14" t="n">
        <x:v>46219</x:v>
      </x:c>
      <x:c r="I57" s="14"/>
      <x:c r="J57" s="12" t="n">
        <x:f>IF(I57&lt;&gt;"",I57-B57,TODAY()-B57)</x:f>
        <x:v>40</x:v>
      </x:c>
      <x:c r="K57" s="12" t="n">
        <x:v>3</x:v>
      </x:c>
      <x:c r="L57" s="12" t="str">
        <x:f>IF(G57="Completed",IF(J57&lt;=K57,"Within SLA","Late"),IF(TODAY()&lt;=H57,"Within SLA","Overdue"))</x:f>
        <x:v>Overdue</x:v>
      </x:c>
      <x:c r="M57" s="12" t="str">
        <x:v>Complete</x:v>
      </x:c>
      <x:c r="N57" s="12" t="str">
        <x:v>Unique</x:v>
      </x:c>
      <x:c r="O57" s="12" t="str"/>
    </x:row>
    <x:row r="58">
      <x:c r="A58" s="12" t="str">
        <x:v>ADM-0057</x:v>
      </x:c>
      <x:c r="B58" s="14" t="n">
        <x:v>46205</x:v>
      </x:c>
      <x:c r="C58" s="12" t="str">
        <x:v>Other</x:v>
      </x:c>
      <x:c r="D58" s="12" t="str">
        <x:v>Requester 05</x:v>
      </x:c>
      <x:c r="E58" s="12" t="str">
        <x:v>Admin C</x:v>
      </x:c>
      <x:c r="F58" s="12" t="str">
        <x:v>Low</x:v>
      </x:c>
      <x:c r="G58" s="12" t="str">
        <x:v>Escalated</x:v>
      </x:c>
      <x:c r="H58" s="14" t="n">
        <x:v>46210</x:v>
      </x:c>
      <x:c r="I58" s="14"/>
      <x:c r="J58" s="12" t="n">
        <x:f>IF(I58&lt;&gt;"",I58-B58,TODAY()-B58)</x:f>
        <x:v>51</x:v>
      </x:c>
      <x:c r="K58" s="12" t="n">
        <x:v>5</x:v>
      </x:c>
      <x:c r="L58" s="12" t="str">
        <x:f>IF(G58="Completed",IF(J58&lt;=K58,"Within SLA","Late"),IF(TODAY()&lt;=H58,"Within SLA","Overdue"))</x:f>
        <x:v>Overdue</x:v>
      </x:c>
      <x:c r="M58" s="12" t="str">
        <x:v>Complete</x:v>
      </x:c>
      <x:c r="N58" s="12" t="str">
        <x:v>Unique</x:v>
      </x:c>
      <x:c r="O58" s="12" t="str"/>
    </x:row>
    <x:row r="59">
      <x:c r="A59" s="12" t="str">
        <x:v>ADM-0058</x:v>
      </x:c>
      <x:c r="B59" s="14" t="n">
        <x:v>46226</x:v>
      </x:c>
      <x:c r="C59" s="12" t="str">
        <x:v>Other</x:v>
      </x:c>
      <x:c r="D59" s="12" t="str">
        <x:v>Requester 35</x:v>
      </x:c>
      <x:c r="E59" s="12" t="str">
        <x:v>Admin C</x:v>
      </x:c>
      <x:c r="F59" s="12" t="str">
        <x:v>Medium</x:v>
      </x:c>
      <x:c r="G59" s="12" t="str">
        <x:v>Escalated</x:v>
      </x:c>
      <x:c r="H59" s="14" t="n">
        <x:v>46229</x:v>
      </x:c>
      <x:c r="I59" s="14"/>
      <x:c r="J59" s="12" t="n">
        <x:f>IF(I59&lt;&gt;"",I59-B59,TODAY()-B59)</x:f>
        <x:v>30</x:v>
      </x:c>
      <x:c r="K59" s="12" t="n">
        <x:v>3</x:v>
      </x:c>
      <x:c r="L59" s="12" t="str">
        <x:f>IF(G59="Completed",IF(J59&lt;=K59,"Within SLA","Late"),IF(TODAY()&lt;=H59,"Within SLA","Overdue"))</x:f>
        <x:v>Overdue</x:v>
      </x:c>
      <x:c r="M59" s="12" t="str">
        <x:v>Complete</x:v>
      </x:c>
      <x:c r="N59" s="12" t="str">
        <x:v>Unique</x:v>
      </x:c>
      <x:c r="O59" s="12" t="str"/>
    </x:row>
    <x:row r="60">
      <x:c r="A60" s="12" t="str">
        <x:v>ADM-0059</x:v>
      </x:c>
      <x:c r="B60" s="14" t="n">
        <x:v>46205</x:v>
      </x:c>
      <x:c r="C60" s="12" t="str">
        <x:v>Delivery Note</x:v>
      </x:c>
      <x:c r="D60" s="12" t="str">
        <x:v>Requester 03</x:v>
      </x:c>
      <x:c r="E60" s="12" t="str">
        <x:v>Admin A</x:v>
      </x:c>
      <x:c r="F60" s="12" t="str">
        <x:v>High</x:v>
      </x:c>
      <x:c r="G60" s="12" t="str">
        <x:v>Completed</x:v>
      </x:c>
      <x:c r="H60" s="14" t="n">
        <x:v>46206</x:v>
      </x:c>
      <x:c r="I60" s="14" t="n">
        <x:v>46209</x:v>
      </x:c>
      <x:c r="J60" s="12" t="n">
        <x:f>IF(I60&lt;&gt;"",I60-B60,TODAY()-B60)</x:f>
        <x:v>4</x:v>
      </x:c>
      <x:c r="K60" s="12" t="n">
        <x:v>1</x:v>
      </x:c>
      <x:c r="L60" s="12" t="str">
        <x:f>IF(G60="Completed",IF(J60&lt;=K60,"Within SLA","Late"),IF(TODAY()&lt;=H60,"Within SLA","Overdue"))</x:f>
        <x:v>Late</x:v>
      </x:c>
      <x:c r="M60" s="12" t="str">
        <x:v>Complete</x:v>
      </x:c>
      <x:c r="N60" s="12" t="str">
        <x:v>Unique</x:v>
      </x:c>
      <x:c r="O60" s="12" t="str"/>
    </x:row>
    <x:row r="61">
      <x:c r="A61" s="12" t="str">
        <x:v>ADM-0060</x:v>
      </x:c>
      <x:c r="B61" s="14" t="n">
        <x:v>46242</x:v>
      </x:c>
      <x:c r="C61" s="12" t="str">
        <x:v>Contract</x:v>
      </x:c>
      <x:c r="D61" s="12" t="str">
        <x:v>Requester 39</x:v>
      </x:c>
      <x:c r="E61" s="12" t="str">
        <x:v>Admin A</x:v>
      </x:c>
      <x:c r="F61" s="12" t="str">
        <x:v>Medium</x:v>
      </x:c>
      <x:c r="G61" s="12" t="str">
        <x:v>Pending Verification</x:v>
      </x:c>
      <x:c r="H61" s="14" t="n">
        <x:v>46245</x:v>
      </x:c>
      <x:c r="I61" s="14"/>
      <x:c r="J61" s="12" t="n">
        <x:f>IF(I61&lt;&gt;"",I61-B61,TODAY()-B61)</x:f>
        <x:v>14</x:v>
      </x:c>
      <x:c r="K61" s="12" t="n">
        <x:v>3</x:v>
      </x:c>
      <x:c r="L61" s="12" t="str">
        <x:f>IF(G61="Completed",IF(J61&lt;=K61,"Within SLA","Late"),IF(TODAY()&lt;=H61,"Within SLA","Overdue"))</x:f>
        <x:v>Overdue</x:v>
      </x:c>
      <x:c r="M61" s="12" t="str">
        <x:v>Complete</x:v>
      </x:c>
      <x:c r="N61" s="12" t="str">
        <x:v>Unique</x:v>
      </x:c>
      <x:c r="O61" s="12" t="str"/>
    </x:row>
    <x:row r="62">
      <x:c r="A62" s="12" t="str">
        <x:v>ADM-0061</x:v>
      </x:c>
      <x:c r="B62" s="14" t="n">
        <x:v>46228</x:v>
      </x:c>
      <x:c r="C62" s="12" t="str">
        <x:v>Contract</x:v>
      </x:c>
      <x:c r="D62" s="12" t="str">
        <x:v>Requester 01</x:v>
      </x:c>
      <x:c r="E62" s="12" t="str">
        <x:v>Admin B</x:v>
      </x:c>
      <x:c r="F62" s="12" t="str">
        <x:v>Low</x:v>
      </x:c>
      <x:c r="G62" s="12" t="str">
        <x:v>Incomplete</x:v>
      </x:c>
      <x:c r="H62" s="14" t="n">
        <x:v>46233</x:v>
      </x:c>
      <x:c r="I62" s="14"/>
      <x:c r="J62" s="12" t="n">
        <x:f>IF(I62&lt;&gt;"",I62-B62,TODAY()-B62)</x:f>
        <x:v>28</x:v>
      </x:c>
      <x:c r="K62" s="12" t="n">
        <x:v>5</x:v>
      </x:c>
      <x:c r="L62" s="12" t="str">
        <x:f>IF(G62="Completed",IF(J62&lt;=K62,"Within SLA","Late"),IF(TODAY()&lt;=H62,"Within SLA","Overdue"))</x:f>
        <x:v>Overdue</x:v>
      </x:c>
      <x:c r="M62" s="12" t="str">
        <x:v>Complete</x:v>
      </x:c>
      <x:c r="N62" s="12" t="str">
        <x:v>Unique</x:v>
      </x:c>
      <x:c r="O62" s="12" t="str"/>
    </x:row>
    <x:row r="63">
      <x:c r="A63" s="12" t="str">
        <x:v>ADM-0062</x:v>
      </x:c>
      <x:c r="B63" s="14" t="n">
        <x:v>46227</x:v>
      </x:c>
      <x:c r="C63" s="12" t="str">
        <x:v>Delivery Note</x:v>
      </x:c>
      <x:c r="D63" s="12" t="str">
        <x:v>Requester 40</x:v>
      </x:c>
      <x:c r="E63" s="12" t="str">
        <x:v>Admin C</x:v>
      </x:c>
      <x:c r="F63" s="12" t="str">
        <x:v>Low</x:v>
      </x:c>
      <x:c r="G63" s="12" t="str">
        <x:v>Pending Verification</x:v>
      </x:c>
      <x:c r="H63" s="14" t="n">
        <x:v>46232</x:v>
      </x:c>
      <x:c r="I63" s="14"/>
      <x:c r="J63" s="12" t="n">
        <x:f>IF(I63&lt;&gt;"",I63-B63,TODAY()-B63)</x:f>
        <x:v>29</x:v>
      </x:c>
      <x:c r="K63" s="12" t="n">
        <x:v>5</x:v>
      </x:c>
      <x:c r="L63" s="12" t="str">
        <x:f>IF(G63="Completed",IF(J63&lt;=K63,"Within SLA","Late"),IF(TODAY()&lt;=H63,"Within SLA","Overdue"))</x:f>
        <x:v>Overdue</x:v>
      </x:c>
      <x:c r="M63" s="12" t="str">
        <x:v>Complete</x:v>
      </x:c>
      <x:c r="N63" s="12" t="str">
        <x:v>Unique</x:v>
      </x:c>
      <x:c r="O63" s="12" t="str"/>
    </x:row>
    <x:row r="64">
      <x:c r="A64" s="12" t="str">
        <x:v>ADM-0063</x:v>
      </x:c>
      <x:c r="B64" s="14" t="n">
        <x:v>46246</x:v>
      </x:c>
      <x:c r="C64" s="12" t="str">
        <x:v>Vendor Form</x:v>
      </x:c>
      <x:c r="D64" s="12" t="str">
        <x:v>Requester 27</x:v>
      </x:c>
      <x:c r="E64" s="12" t="str">
        <x:v>Admin C</x:v>
      </x:c>
      <x:c r="F64" s="12" t="str">
        <x:v>Medium</x:v>
      </x:c>
      <x:c r="G64" s="12" t="str">
        <x:v>Completed</x:v>
      </x:c>
      <x:c r="H64" s="14" t="n">
        <x:v>46249</x:v>
      </x:c>
      <x:c r="I64" s="14" t="n">
        <x:v>46250</x:v>
      </x:c>
      <x:c r="J64" s="12" t="n">
        <x:f>IF(I64&lt;&gt;"",I64-B64,TODAY()-B64)</x:f>
        <x:v>4</x:v>
      </x:c>
      <x:c r="K64" s="12" t="n">
        <x:v>3</x:v>
      </x:c>
      <x:c r="L64" s="12" t="str">
        <x:f>IF(G64="Completed",IF(J64&lt;=K64,"Within SLA","Late"),IF(TODAY()&lt;=H64,"Within SLA","Overdue"))</x:f>
        <x:v>Late</x:v>
      </x:c>
      <x:c r="M64" s="12" t="str">
        <x:v>Complete</x:v>
      </x:c>
      <x:c r="N64" s="12" t="str">
        <x:v>Unique</x:v>
      </x:c>
      <x:c r="O64" s="12" t="str"/>
    </x:row>
    <x:row r="65">
      <x:c r="A65" s="12" t="str">
        <x:v>ADM-0064</x:v>
      </x:c>
      <x:c r="B65" s="14" t="n">
        <x:v>46229</x:v>
      </x:c>
      <x:c r="C65" s="12" t="str">
        <x:v>Contract</x:v>
      </x:c>
      <x:c r="D65" s="12" t="str">
        <x:v>Requester 43</x:v>
      </x:c>
      <x:c r="E65" s="12" t="str">
        <x:v>Admin D</x:v>
      </x:c>
      <x:c r="F65" s="12" t="str">
        <x:v>Low</x:v>
      </x:c>
      <x:c r="G65" s="12" t="str">
        <x:v>Escalated</x:v>
      </x:c>
      <x:c r="H65" s="14" t="n">
        <x:v>46234</x:v>
      </x:c>
      <x:c r="I65" s="14"/>
      <x:c r="J65" s="12" t="n">
        <x:f>IF(I65&lt;&gt;"",I65-B65,TODAY()-B65)</x:f>
        <x:v>27</x:v>
      </x:c>
      <x:c r="K65" s="12" t="n">
        <x:v>5</x:v>
      </x:c>
      <x:c r="L65" s="12" t="str">
        <x:f>IF(G65="Completed",IF(J65&lt;=K65,"Within SLA","Late"),IF(TODAY()&lt;=H65,"Within SLA","Overdue"))</x:f>
        <x:v>Overdue</x:v>
      </x:c>
      <x:c r="M65" s="12" t="str">
        <x:v>Complete</x:v>
      </x:c>
      <x:c r="N65" s="12" t="str">
        <x:v>Unique</x:v>
      </x:c>
      <x:c r="O65" s="12" t="str"/>
    </x:row>
    <x:row r="66">
      <x:c r="A66" s="12" t="str">
        <x:v>ADM-0065</x:v>
      </x:c>
      <x:c r="B66" s="14" t="n">
        <x:v>46247</x:v>
      </x:c>
      <x:c r="C66" s="12" t="str">
        <x:v>Delivery Note</x:v>
      </x:c>
      <x:c r="D66" s="12" t="str">
        <x:v>Requester 26</x:v>
      </x:c>
      <x:c r="E66" s="12" t="str">
        <x:v>Admin A</x:v>
      </x:c>
      <x:c r="F66" s="12" t="str">
        <x:v>High</x:v>
      </x:c>
      <x:c r="G66" s="12" t="str">
        <x:v>Escalated</x:v>
      </x:c>
      <x:c r="H66" s="14" t="n">
        <x:v>46248</x:v>
      </x:c>
      <x:c r="I66" s="14"/>
      <x:c r="J66" s="12" t="n">
        <x:f>IF(I66&lt;&gt;"",I66-B66,TODAY()-B66)</x:f>
        <x:v>9</x:v>
      </x:c>
      <x:c r="K66" s="12" t="n">
        <x:v>1</x:v>
      </x:c>
      <x:c r="L66" s="12" t="str">
        <x:f>IF(G66="Completed",IF(J66&lt;=K66,"Within SLA","Late"),IF(TODAY()&lt;=H66,"Within SLA","Overdue"))</x:f>
        <x:v>Overdue</x:v>
      </x:c>
      <x:c r="M66" s="12" t="str">
        <x:v>Complete</x:v>
      </x:c>
      <x:c r="N66" s="12" t="str">
        <x:v>Unique</x:v>
      </x:c>
      <x:c r="O66" s="12" t="str"/>
    </x:row>
    <x:row r="67">
      <x:c r="A67" s="12" t="str">
        <x:v>ADM-0066</x:v>
      </x:c>
      <x:c r="B67" s="14" t="n">
        <x:v>46223</x:v>
      </x:c>
      <x:c r="C67" s="12" t="str">
        <x:v>Contract</x:v>
      </x:c>
      <x:c r="D67" s="12" t="str">
        <x:v>Requester 44</x:v>
      </x:c>
      <x:c r="E67" s="12" t="str">
        <x:v>Admin B</x:v>
      </x:c>
      <x:c r="F67" s="12" t="str">
        <x:v>Low</x:v>
      </x:c>
      <x:c r="G67" s="12" t="str">
        <x:v>Completed</x:v>
      </x:c>
      <x:c r="H67" s="14" t="n">
        <x:v>46228</x:v>
      </x:c>
      <x:c r="I67" s="14" t="n">
        <x:v>46228</x:v>
      </x:c>
      <x:c r="J67" s="12" t="n">
        <x:f>IF(I67&lt;&gt;"",I67-B67,TODAY()-B67)</x:f>
        <x:v>5</x:v>
      </x:c>
      <x:c r="K67" s="12" t="n">
        <x:v>5</x:v>
      </x:c>
      <x:c r="L67" s="12" t="str">
        <x:f>IF(G67="Completed",IF(J67&lt;=K67,"Within SLA","Late"),IF(TODAY()&lt;=H67,"Within SLA","Overdue"))</x:f>
        <x:v>Within SLA</x:v>
      </x:c>
      <x:c r="M67" s="12" t="str">
        <x:v>Complete</x:v>
      </x:c>
      <x:c r="N67" s="12" t="str">
        <x:v>Unique</x:v>
      </x:c>
      <x:c r="O67" s="12" t="str"/>
    </x:row>
    <x:row r="68">
      <x:c r="A68" s="12" t="str">
        <x:v>ADM-0067</x:v>
      </x:c>
      <x:c r="B68" s="14" t="n">
        <x:v>46236</x:v>
      </x:c>
      <x:c r="C68" s="12" t="str">
        <x:v>Vendor Form</x:v>
      </x:c>
      <x:c r="D68" s="12" t="str">
        <x:v>Requester 11</x:v>
      </x:c>
      <x:c r="E68" s="12" t="str">
        <x:v>Admin A</x:v>
      </x:c>
      <x:c r="F68" s="12" t="str">
        <x:v>Medium</x:v>
      </x:c>
      <x:c r="G68" s="12" t="str">
        <x:v>Pending Verification</x:v>
      </x:c>
      <x:c r="H68" s="14" t="n">
        <x:v>46239</x:v>
      </x:c>
      <x:c r="I68" s="14"/>
      <x:c r="J68" s="12" t="n">
        <x:f>IF(I68&lt;&gt;"",I68-B68,TODAY()-B68)</x:f>
        <x:v>20</x:v>
      </x:c>
      <x:c r="K68" s="12" t="n">
        <x:v>3</x:v>
      </x:c>
      <x:c r="L68" s="12" t="str">
        <x:f>IF(G68="Completed",IF(J68&lt;=K68,"Within SLA","Late"),IF(TODAY()&lt;=H68,"Within SLA","Overdue"))</x:f>
        <x:v>Overdue</x:v>
      </x:c>
      <x:c r="M68" s="12" t="str">
        <x:v>Missing Document</x:v>
      </x:c>
      <x:c r="N68" s="12" t="str">
        <x:v>Unique</x:v>
      </x:c>
      <x:c r="O68" s="12" t="str"/>
    </x:row>
    <x:row r="69">
      <x:c r="A69" s="12" t="str">
        <x:v>ADM-0068</x:v>
      </x:c>
      <x:c r="B69" s="14" t="n">
        <x:v>46222</x:v>
      </x:c>
      <x:c r="C69" s="12" t="str">
        <x:v>Invoice</x:v>
      </x:c>
      <x:c r="D69" s="12" t="str">
        <x:v>Requester 16</x:v>
      </x:c>
      <x:c r="E69" s="12" t="str">
        <x:v>Admin C</x:v>
      </x:c>
      <x:c r="F69" s="12" t="str">
        <x:v>Medium</x:v>
      </x:c>
      <x:c r="G69" s="12" t="str">
        <x:v>Incomplete</x:v>
      </x:c>
      <x:c r="H69" s="14" t="n">
        <x:v>46225</x:v>
      </x:c>
      <x:c r="I69" s="14"/>
      <x:c r="J69" s="12" t="n">
        <x:f>IF(I69&lt;&gt;"",I69-B69,TODAY()-B69)</x:f>
        <x:v>34</x:v>
      </x:c>
      <x:c r="K69" s="12" t="n">
        <x:v>3</x:v>
      </x:c>
      <x:c r="L69" s="12" t="str">
        <x:f>IF(G69="Completed",IF(J69&lt;=K69,"Within SLA","Late"),IF(TODAY()&lt;=H69,"Within SLA","Overdue"))</x:f>
        <x:v>Overdue</x:v>
      </x:c>
      <x:c r="M69" s="12" t="str">
        <x:v>Complete</x:v>
      </x:c>
      <x:c r="N69" s="12" t="str">
        <x:v>Unique</x:v>
      </x:c>
      <x:c r="O69" s="12" t="str"/>
    </x:row>
    <x:row r="70">
      <x:c r="A70" s="12" t="str">
        <x:v>ADM-0069</x:v>
      </x:c>
      <x:c r="B70" s="14" t="n">
        <x:v>46218</x:v>
      </x:c>
      <x:c r="C70" s="12" t="str">
        <x:v>Contract</x:v>
      </x:c>
      <x:c r="D70" s="12" t="str">
        <x:v>Requester 40</x:v>
      </x:c>
      <x:c r="E70" s="12" t="str">
        <x:v>Admin A</x:v>
      </x:c>
      <x:c r="F70" s="12" t="str">
        <x:v>Low</x:v>
      </x:c>
      <x:c r="G70" s="12" t="str">
        <x:v>Completed</x:v>
      </x:c>
      <x:c r="H70" s="14" t="n">
        <x:v>46223</x:v>
      </x:c>
      <x:c r="I70" s="14" t="n">
        <x:v>46218</x:v>
      </x:c>
      <x:c r="J70" s="12" t="n">
        <x:f>IF(I70&lt;&gt;"",I70-B70,TODAY()-B70)</x:f>
        <x:v>0</x:v>
      </x:c>
      <x:c r="K70" s="12" t="n">
        <x:v>5</x:v>
      </x:c>
      <x:c r="L70" s="12" t="str">
        <x:f>IF(G70="Completed",IF(J70&lt;=K70,"Within SLA","Late"),IF(TODAY()&lt;=H70,"Within SLA","Overdue"))</x:f>
        <x:v>Within SLA</x:v>
      </x:c>
      <x:c r="M70" s="12" t="str">
        <x:v>Complete</x:v>
      </x:c>
      <x:c r="N70" s="12" t="str">
        <x:v>Unique</x:v>
      </x:c>
      <x:c r="O70" s="12" t="str"/>
    </x:row>
    <x:row r="71">
      <x:c r="A71" s="12" t="str">
        <x:v>ADM-0070</x:v>
      </x:c>
      <x:c r="B71" s="14" t="n">
        <x:v>46233</x:v>
      </x:c>
      <x:c r="C71" s="12" t="str">
        <x:v>Vendor Form</x:v>
      </x:c>
      <x:c r="D71" s="12" t="str">
        <x:v>Requester 45</x:v>
      </x:c>
      <x:c r="E71" s="12" t="str">
        <x:v>Admin D</x:v>
      </x:c>
      <x:c r="F71" s="12" t="str">
        <x:v>High</x:v>
      </x:c>
      <x:c r="G71" s="12" t="str">
        <x:v>Pending Verification</x:v>
      </x:c>
      <x:c r="H71" s="14" t="n">
        <x:v>46234</x:v>
      </x:c>
      <x:c r="I71" s="14"/>
      <x:c r="J71" s="12" t="n">
        <x:f>IF(I71&lt;&gt;"",I71-B71,TODAY()-B71)</x:f>
        <x:v>23</x:v>
      </x:c>
      <x:c r="K71" s="12" t="n">
        <x:v>1</x:v>
      </x:c>
      <x:c r="L71" s="12" t="str">
        <x:f>IF(G71="Completed",IF(J71&lt;=K71,"Within SLA","Late"),IF(TODAY()&lt;=H71,"Within SLA","Overdue"))</x:f>
        <x:v>Overdue</x:v>
      </x:c>
      <x:c r="M71" s="12" t="str">
        <x:v>Complete</x:v>
      </x:c>
      <x:c r="N71" s="12" t="str">
        <x:v>Unique</x:v>
      </x:c>
      <x:c r="O71" s="12" t="str"/>
    </x:row>
    <x:row r="72">
      <x:c r="A72" s="12" t="str">
        <x:v>ADM-0071</x:v>
      </x:c>
      <x:c r="B72" s="14" t="n">
        <x:v>46235</x:v>
      </x:c>
      <x:c r="C72" s="12" t="str">
        <x:v>Invoice</x:v>
      </x:c>
      <x:c r="D72" s="12" t="str">
        <x:v>Requester 07</x:v>
      </x:c>
      <x:c r="E72" s="12" t="str">
        <x:v>Admin D</x:v>
      </x:c>
      <x:c r="F72" s="12" t="str">
        <x:v>Low</x:v>
      </x:c>
      <x:c r="G72" s="12" t="str">
        <x:v>Pending Verification</x:v>
      </x:c>
      <x:c r="H72" s="14" t="n">
        <x:v>46240</x:v>
      </x:c>
      <x:c r="I72" s="14"/>
      <x:c r="J72" s="12" t="n">
        <x:f>IF(I72&lt;&gt;"",I72-B72,TODAY()-B72)</x:f>
        <x:v>21</x:v>
      </x:c>
      <x:c r="K72" s="12" t="n">
        <x:v>5</x:v>
      </x:c>
      <x:c r="L72" s="12" t="str">
        <x:f>IF(G72="Completed",IF(J72&lt;=K72,"Within SLA","Late"),IF(TODAY()&lt;=H72,"Within SLA","Overdue"))</x:f>
        <x:v>Overdue</x:v>
      </x:c>
      <x:c r="M72" s="12" t="str">
        <x:v>Complete</x:v>
      </x:c>
      <x:c r="N72" s="12" t="str">
        <x:v>Unique</x:v>
      </x:c>
      <x:c r="O72" s="12" t="str"/>
    </x:row>
    <x:row r="73">
      <x:c r="A73" s="12" t="str">
        <x:v>ADM-0072</x:v>
      </x:c>
      <x:c r="B73" s="14" t="n">
        <x:v>46218</x:v>
      </x:c>
      <x:c r="C73" s="12" t="str">
        <x:v>Purchase Order</x:v>
      </x:c>
      <x:c r="D73" s="12" t="str">
        <x:v>Requester 08</x:v>
      </x:c>
      <x:c r="E73" s="12" t="str">
        <x:v>Admin D</x:v>
      </x:c>
      <x:c r="F73" s="12" t="str">
        <x:v>High</x:v>
      </x:c>
      <x:c r="G73" s="12" t="str">
        <x:v>Completed</x:v>
      </x:c>
      <x:c r="H73" s="14" t="n">
        <x:v>46219</x:v>
      </x:c>
      <x:c r="I73" s="14" t="n">
        <x:v>46225</x:v>
      </x:c>
      <x:c r="J73" s="12" t="n">
        <x:f>IF(I73&lt;&gt;"",I73-B73,TODAY()-B73)</x:f>
        <x:v>7</x:v>
      </x:c>
      <x:c r="K73" s="12" t="n">
        <x:v>1</x:v>
      </x:c>
      <x:c r="L73" s="12" t="str">
        <x:f>IF(G73="Completed",IF(J73&lt;=K73,"Within SLA","Late"),IF(TODAY()&lt;=H73,"Within SLA","Overdue"))</x:f>
        <x:v>Late</x:v>
      </x:c>
      <x:c r="M73" s="12" t="str">
        <x:v>Complete</x:v>
      </x:c>
      <x:c r="N73" s="12" t="str">
        <x:v>Unique</x:v>
      </x:c>
      <x:c r="O73" s="12" t="str"/>
    </x:row>
    <x:row r="74">
      <x:c r="A74" s="12" t="str">
        <x:v>ADM-0073</x:v>
      </x:c>
      <x:c r="B74" s="14" t="n">
        <x:v>46212</x:v>
      </x:c>
      <x:c r="C74" s="12" t="str">
        <x:v>Customer Form</x:v>
      </x:c>
      <x:c r="D74" s="12" t="str">
        <x:v>Requester 21</x:v>
      </x:c>
      <x:c r="E74" s="12" t="str">
        <x:v>Admin D</x:v>
      </x:c>
      <x:c r="F74" s="12" t="str">
        <x:v>Medium</x:v>
      </x:c>
      <x:c r="G74" s="12" t="str">
        <x:v>Pending Verification</x:v>
      </x:c>
      <x:c r="H74" s="14" t="n">
        <x:v>46215</x:v>
      </x:c>
      <x:c r="I74" s="14"/>
      <x:c r="J74" s="12" t="n">
        <x:f>IF(I74&lt;&gt;"",I74-B74,TODAY()-B74)</x:f>
        <x:v>44</x:v>
      </x:c>
      <x:c r="K74" s="12" t="n">
        <x:v>3</x:v>
      </x:c>
      <x:c r="L74" s="12" t="str">
        <x:f>IF(G74="Completed",IF(J74&lt;=K74,"Within SLA","Late"),IF(TODAY()&lt;=H74,"Within SLA","Overdue"))</x:f>
        <x:v>Overdue</x:v>
      </x:c>
      <x:c r="M74" s="12" t="str">
        <x:v>Missing Document</x:v>
      </x:c>
      <x:c r="N74" s="12" t="str">
        <x:v>Unique</x:v>
      </x:c>
      <x:c r="O74" s="12" t="str"/>
    </x:row>
    <x:row r="75">
      <x:c r="A75" s="12" t="str">
        <x:v>ADM-0074</x:v>
      </x:c>
      <x:c r="B75" s="14" t="n">
        <x:v>46243</x:v>
      </x:c>
      <x:c r="C75" s="12" t="str">
        <x:v>Customer Form</x:v>
      </x:c>
      <x:c r="D75" s="12" t="str">
        <x:v>Requester 29</x:v>
      </x:c>
      <x:c r="E75" s="12" t="str">
        <x:v>Admin B</x:v>
      </x:c>
      <x:c r="F75" s="12" t="str">
        <x:v>High</x:v>
      </x:c>
      <x:c r="G75" s="12" t="str">
        <x:v>Escalated</x:v>
      </x:c>
      <x:c r="H75" s="14" t="n">
        <x:v>46244</x:v>
      </x:c>
      <x:c r="I75" s="14"/>
      <x:c r="J75" s="12" t="n">
        <x:f>IF(I75&lt;&gt;"",I75-B75,TODAY()-B75)</x:f>
        <x:v>13</x:v>
      </x:c>
      <x:c r="K75" s="12" t="n">
        <x:v>1</x:v>
      </x:c>
      <x:c r="L75" s="12" t="str">
        <x:f>IF(G75="Completed",IF(J75&lt;=K75,"Within SLA","Late"),IF(TODAY()&lt;=H75,"Within SLA","Overdue"))</x:f>
        <x:v>Overdue</x:v>
      </x:c>
      <x:c r="M75" s="12" t="str">
        <x:v>Complete</x:v>
      </x:c>
      <x:c r="N75" s="12" t="str">
        <x:v>Duplicate</x:v>
      </x:c>
      <x:c r="O75" s="12" t="str"/>
    </x:row>
    <x:row r="76">
      <x:c r="A76" s="12" t="str">
        <x:v>ADM-0075</x:v>
      </x:c>
      <x:c r="B76" s="14" t="n">
        <x:v>46251</x:v>
      </x:c>
      <x:c r="C76" s="12" t="str">
        <x:v>Other</x:v>
      </x:c>
      <x:c r="D76" s="12" t="str">
        <x:v>Requester 41</x:v>
      </x:c>
      <x:c r="E76" s="12" t="str">
        <x:v>Admin C</x:v>
      </x:c>
      <x:c r="F76" s="12" t="str">
        <x:v>Medium</x:v>
      </x:c>
      <x:c r="G76" s="12" t="str">
        <x:v>Pending Verification</x:v>
      </x:c>
      <x:c r="H76" s="14" t="n">
        <x:v>46254</x:v>
      </x:c>
      <x:c r="I76" s="14"/>
      <x:c r="J76" s="12" t="n">
        <x:f>IF(I76&lt;&gt;"",I76-B76,TODAY()-B76)</x:f>
        <x:v>5</x:v>
      </x:c>
      <x:c r="K76" s="12" t="n">
        <x:v>3</x:v>
      </x:c>
      <x:c r="L76" s="12" t="str">
        <x:f>IF(G76="Completed",IF(J76&lt;=K76,"Within SLA","Late"),IF(TODAY()&lt;=H76,"Within SLA","Overdue"))</x:f>
        <x:v>Overdue</x:v>
      </x:c>
      <x:c r="M76" s="12" t="str">
        <x:v>Complete</x:v>
      </x:c>
      <x:c r="N76" s="12" t="str">
        <x:v>Unique</x:v>
      </x:c>
      <x:c r="O76" s="12" t="str"/>
    </x:row>
    <x:row r="77">
      <x:c r="A77" s="12" t="str">
        <x:v>ADM-0076</x:v>
      </x:c>
      <x:c r="B77" s="14" t="n">
        <x:v>46253</x:v>
      </x:c>
      <x:c r="C77" s="12" t="str">
        <x:v>Contract</x:v>
      </x:c>
      <x:c r="D77" s="12" t="str">
        <x:v>Requester 05</x:v>
      </x:c>
      <x:c r="E77" s="12" t="str">
        <x:v>Admin C</x:v>
      </x:c>
      <x:c r="F77" s="12" t="str">
        <x:v>Medium</x:v>
      </x:c>
      <x:c r="G77" s="12" t="str">
        <x:v>Incomplete</x:v>
      </x:c>
      <x:c r="H77" s="14" t="n">
        <x:v>46256</x:v>
      </x:c>
      <x:c r="I77" s="14"/>
      <x:c r="J77" s="12" t="n">
        <x:f>IF(I77&lt;&gt;"",I77-B77,TODAY()-B77)</x:f>
        <x:v>3</x:v>
      </x:c>
      <x:c r="K77" s="12" t="n">
        <x:v>3</x:v>
      </x:c>
      <x:c r="L77" s="12" t="str">
        <x:f>IF(G77="Completed",IF(J77&lt;=K77,"Within SLA","Late"),IF(TODAY()&lt;=H77,"Within SLA","Overdue"))</x:f>
        <x:v>Within SLA</x:v>
      </x:c>
      <x:c r="M77" s="12" t="str">
        <x:v>Complete</x:v>
      </x:c>
      <x:c r="N77" s="12" t="str">
        <x:v>Unique</x:v>
      </x:c>
      <x:c r="O77" s="12" t="str"/>
    </x:row>
    <x:row r="78">
      <x:c r="A78" s="12" t="str">
        <x:v>ADM-0077</x:v>
      </x:c>
      <x:c r="B78" s="14" t="n">
        <x:v>46219</x:v>
      </x:c>
      <x:c r="C78" s="12" t="str">
        <x:v>Purchase Order</x:v>
      </x:c>
      <x:c r="D78" s="12" t="str">
        <x:v>Requester 25</x:v>
      </x:c>
      <x:c r="E78" s="12" t="str">
        <x:v>Admin B</x:v>
      </x:c>
      <x:c r="F78" s="12" t="str">
        <x:v>Medium</x:v>
      </x:c>
      <x:c r="G78" s="12" t="str">
        <x:v>Completed</x:v>
      </x:c>
      <x:c r="H78" s="14" t="n">
        <x:v>46222</x:v>
      </x:c>
      <x:c r="I78" s="14" t="n">
        <x:v>46220</x:v>
      </x:c>
      <x:c r="J78" s="12" t="n">
        <x:f>IF(I78&lt;&gt;"",I78-B78,TODAY()-B78)</x:f>
        <x:v>1</x:v>
      </x:c>
      <x:c r="K78" s="12" t="n">
        <x:v>3</x:v>
      </x:c>
      <x:c r="L78" s="12" t="str">
        <x:f>IF(G78="Completed",IF(J78&lt;=K78,"Within SLA","Late"),IF(TODAY()&lt;=H78,"Within SLA","Overdue"))</x:f>
        <x:v>Within SLA</x:v>
      </x:c>
      <x:c r="M78" s="12" t="str">
        <x:v>Complete</x:v>
      </x:c>
      <x:c r="N78" s="12" t="str">
        <x:v>Unique</x:v>
      </x:c>
      <x:c r="O78" s="12" t="str"/>
    </x:row>
    <x:row r="79">
      <x:c r="A79" s="12" t="str">
        <x:v>ADM-0078</x:v>
      </x:c>
      <x:c r="B79" s="14" t="n">
        <x:v>46249</x:v>
      </x:c>
      <x:c r="C79" s="12" t="str">
        <x:v>Contract</x:v>
      </x:c>
      <x:c r="D79" s="12" t="str">
        <x:v>Requester 27</x:v>
      </x:c>
      <x:c r="E79" s="12" t="str">
        <x:v>Admin A</x:v>
      </x:c>
      <x:c r="F79" s="12" t="str">
        <x:v>Low</x:v>
      </x:c>
      <x:c r="G79" s="12" t="str">
        <x:v>Completed</x:v>
      </x:c>
      <x:c r="H79" s="14" t="n">
        <x:v>46254</x:v>
      </x:c>
      <x:c r="I79" s="14" t="n">
        <x:v>46255</x:v>
      </x:c>
      <x:c r="J79" s="12" t="n">
        <x:f>IF(I79&lt;&gt;"",I79-B79,TODAY()-B79)</x:f>
        <x:v>6</x:v>
      </x:c>
      <x:c r="K79" s="12" t="n">
        <x:v>5</x:v>
      </x:c>
      <x:c r="L79" s="12" t="str">
        <x:f>IF(G79="Completed",IF(J79&lt;=K79,"Within SLA","Late"),IF(TODAY()&lt;=H79,"Within SLA","Overdue"))</x:f>
        <x:v>Late</x:v>
      </x:c>
      <x:c r="M79" s="12" t="str">
        <x:v>Complete</x:v>
      </x:c>
      <x:c r="N79" s="12" t="str">
        <x:v>Unique</x:v>
      </x:c>
      <x:c r="O79" s="12" t="str"/>
    </x:row>
    <x:row r="80">
      <x:c r="A80" s="12" t="str">
        <x:v>ADM-0079</x:v>
      </x:c>
      <x:c r="B80" s="14" t="n">
        <x:v>46217</x:v>
      </x:c>
      <x:c r="C80" s="12" t="str">
        <x:v>Vendor Form</x:v>
      </x:c>
      <x:c r="D80" s="12" t="str">
        <x:v>Requester 02</x:v>
      </x:c>
      <x:c r="E80" s="12" t="str">
        <x:v>Admin D</x:v>
      </x:c>
      <x:c r="F80" s="12" t="str">
        <x:v>Medium</x:v>
      </x:c>
      <x:c r="G80" s="12" t="str">
        <x:v>Pending Verification</x:v>
      </x:c>
      <x:c r="H80" s="14" t="n">
        <x:v>46220</x:v>
      </x:c>
      <x:c r="I80" s="14"/>
      <x:c r="J80" s="12" t="n">
        <x:f>IF(I80&lt;&gt;"",I80-B80,TODAY()-B80)</x:f>
        <x:v>39</x:v>
      </x:c>
      <x:c r="K80" s="12" t="n">
        <x:v>3</x:v>
      </x:c>
      <x:c r="L80" s="12" t="str">
        <x:f>IF(G80="Completed",IF(J80&lt;=K80,"Within SLA","Late"),IF(TODAY()&lt;=H80,"Within SLA","Overdue"))</x:f>
        <x:v>Overdue</x:v>
      </x:c>
      <x:c r="M80" s="12" t="str">
        <x:v>Complete</x:v>
      </x:c>
      <x:c r="N80" s="12" t="str">
        <x:v>Unique</x:v>
      </x:c>
      <x:c r="O80" s="12" t="str"/>
    </x:row>
    <x:row r="81">
      <x:c r="A81" s="12" t="str">
        <x:v>ADM-0080</x:v>
      </x:c>
      <x:c r="B81" s="14" t="n">
        <x:v>46234</x:v>
      </x:c>
      <x:c r="C81" s="12" t="str">
        <x:v>Other</x:v>
      </x:c>
      <x:c r="D81" s="12" t="str">
        <x:v>Requester 27</x:v>
      </x:c>
      <x:c r="E81" s="12" t="str">
        <x:v>Admin B</x:v>
      </x:c>
      <x:c r="F81" s="12" t="str">
        <x:v>High</x:v>
      </x:c>
      <x:c r="G81" s="12" t="str">
        <x:v>Completed</x:v>
      </x:c>
      <x:c r="H81" s="14" t="n">
        <x:v>46235</x:v>
      </x:c>
      <x:c r="I81" s="14" t="n">
        <x:v>46238</x:v>
      </x:c>
      <x:c r="J81" s="12" t="n">
        <x:f>IF(I81&lt;&gt;"",I81-B81,TODAY()-B81)</x:f>
        <x:v>4</x:v>
      </x:c>
      <x:c r="K81" s="12" t="n">
        <x:v>1</x:v>
      </x:c>
      <x:c r="L81" s="12" t="str">
        <x:f>IF(G81="Completed",IF(J81&lt;=K81,"Within SLA","Late"),IF(TODAY()&lt;=H81,"Within SLA","Overdue"))</x:f>
        <x:v>Late</x:v>
      </x:c>
      <x:c r="M81" s="12" t="str">
        <x:v>Complete</x:v>
      </x:c>
      <x:c r="N81" s="12" t="str">
        <x:v>Unique</x:v>
      </x:c>
      <x:c r="O81" s="12" t="str"/>
    </x:row>
    <x:row r="82">
      <x:c r="A82" s="12" t="str">
        <x:v>ADM-0081</x:v>
      </x:c>
      <x:c r="B82" s="14" t="n">
        <x:v>46235</x:v>
      </x:c>
      <x:c r="C82" s="12" t="str">
        <x:v>Delivery Note</x:v>
      </x:c>
      <x:c r="D82" s="12" t="str">
        <x:v>Requester 43</x:v>
      </x:c>
      <x:c r="E82" s="12" t="str">
        <x:v>Admin D</x:v>
      </x:c>
      <x:c r="F82" s="12" t="str">
        <x:v>Low</x:v>
      </x:c>
      <x:c r="G82" s="12" t="str">
        <x:v>Completed</x:v>
      </x:c>
      <x:c r="H82" s="14" t="n">
        <x:v>46240</x:v>
      </x:c>
      <x:c r="I82" s="14" t="n">
        <x:v>46242</x:v>
      </x:c>
      <x:c r="J82" s="12" t="n">
        <x:f>IF(I82&lt;&gt;"",I82-B82,TODAY()-B82)</x:f>
        <x:v>7</x:v>
      </x:c>
      <x:c r="K82" s="12" t="n">
        <x:v>5</x:v>
      </x:c>
      <x:c r="L82" s="12" t="str">
        <x:f>IF(G82="Completed",IF(J82&lt;=K82,"Within SLA","Late"),IF(TODAY()&lt;=H82,"Within SLA","Overdue"))</x:f>
        <x:v>Late</x:v>
      </x:c>
      <x:c r="M82" s="12" t="str">
        <x:v>Complete</x:v>
      </x:c>
      <x:c r="N82" s="12" t="str">
        <x:v>Unique</x:v>
      </x:c>
      <x:c r="O82" s="12" t="str"/>
    </x:row>
    <x:row r="83">
      <x:c r="A83" s="12" t="str">
        <x:v>ADM-0082</x:v>
      </x:c>
      <x:c r="B83" s="14" t="n">
        <x:v>46250</x:v>
      </x:c>
      <x:c r="C83" s="12" t="str">
        <x:v>Customer Form</x:v>
      </x:c>
      <x:c r="D83" s="12" t="str">
        <x:v>Requester 02</x:v>
      </x:c>
      <x:c r="E83" s="12" t="str">
        <x:v>Admin D</x:v>
      </x:c>
      <x:c r="F83" s="12" t="str">
        <x:v>High</x:v>
      </x:c>
      <x:c r="G83" s="12" t="str">
        <x:v>Completed</x:v>
      </x:c>
      <x:c r="H83" s="14" t="n">
        <x:v>46251</x:v>
      </x:c>
      <x:c r="I83" s="14" t="n">
        <x:v>46252</x:v>
      </x:c>
      <x:c r="J83" s="12" t="n">
        <x:f>IF(I83&lt;&gt;"",I83-B83,TODAY()-B83)</x:f>
        <x:v>2</x:v>
      </x:c>
      <x:c r="K83" s="12" t="n">
        <x:v>1</x:v>
      </x:c>
      <x:c r="L83" s="12" t="str">
        <x:f>IF(G83="Completed",IF(J83&lt;=K83,"Within SLA","Late"),IF(TODAY()&lt;=H83,"Within SLA","Overdue"))</x:f>
        <x:v>Late</x:v>
      </x:c>
      <x:c r="M83" s="12" t="str">
        <x:v>Missing Document</x:v>
      </x:c>
      <x:c r="N83" s="12" t="str">
        <x:v>Unique</x:v>
      </x:c>
      <x:c r="O83" s="12" t="str"/>
    </x:row>
    <x:row r="84">
      <x:c r="A84" s="12" t="str">
        <x:v>ADM-0083</x:v>
      </x:c>
      <x:c r="B84" s="14" t="n">
        <x:v>46241</x:v>
      </x:c>
      <x:c r="C84" s="12" t="str">
        <x:v>Contract</x:v>
      </x:c>
      <x:c r="D84" s="12" t="str">
        <x:v>Requester 09</x:v>
      </x:c>
      <x:c r="E84" s="12" t="str">
        <x:v>Admin D</x:v>
      </x:c>
      <x:c r="F84" s="12" t="str">
        <x:v>Medium</x:v>
      </x:c>
      <x:c r="G84" s="12" t="str">
        <x:v>Incomplete</x:v>
      </x:c>
      <x:c r="H84" s="14" t="n">
        <x:v>46244</x:v>
      </x:c>
      <x:c r="I84" s="14"/>
      <x:c r="J84" s="12" t="n">
        <x:f>IF(I84&lt;&gt;"",I84-B84,TODAY()-B84)</x:f>
        <x:v>15</x:v>
      </x:c>
      <x:c r="K84" s="12" t="n">
        <x:v>3</x:v>
      </x:c>
      <x:c r="L84" s="12" t="str">
        <x:f>IF(G84="Completed",IF(J84&lt;=K84,"Within SLA","Late"),IF(TODAY()&lt;=H84,"Within SLA","Overdue"))</x:f>
        <x:v>Overdue</x:v>
      </x:c>
      <x:c r="M84" s="12" t="str">
        <x:v>Complete</x:v>
      </x:c>
      <x:c r="N84" s="12" t="str">
        <x:v>Unique</x:v>
      </x:c>
      <x:c r="O84" s="12" t="str"/>
    </x:row>
    <x:row r="85">
      <x:c r="A85" s="12" t="str">
        <x:v>ADM-0084</x:v>
      </x:c>
      <x:c r="B85" s="14" t="n">
        <x:v>46215</x:v>
      </x:c>
      <x:c r="C85" s="12" t="str">
        <x:v>Delivery Note</x:v>
      </x:c>
      <x:c r="D85" s="12" t="str">
        <x:v>Requester 22</x:v>
      </x:c>
      <x:c r="E85" s="12" t="str">
        <x:v>Admin D</x:v>
      </x:c>
      <x:c r="F85" s="12" t="str">
        <x:v>Low</x:v>
      </x:c>
      <x:c r="G85" s="12" t="str">
        <x:v>Completed</x:v>
      </x:c>
      <x:c r="H85" s="14" t="n">
        <x:v>46220</x:v>
      </x:c>
      <x:c r="I85" s="14" t="n">
        <x:v>46220</x:v>
      </x:c>
      <x:c r="J85" s="12" t="n">
        <x:f>IF(I85&lt;&gt;"",I85-B85,TODAY()-B85)</x:f>
        <x:v>5</x:v>
      </x:c>
      <x:c r="K85" s="12" t="n">
        <x:v>5</x:v>
      </x:c>
      <x:c r="L85" s="12" t="str">
        <x:f>IF(G85="Completed",IF(J85&lt;=K85,"Within SLA","Late"),IF(TODAY()&lt;=H85,"Within SLA","Overdue"))</x:f>
        <x:v>Within SLA</x:v>
      </x:c>
      <x:c r="M85" s="12" t="str">
        <x:v>Complete</x:v>
      </x:c>
      <x:c r="N85" s="12" t="str">
        <x:v>Unique</x:v>
      </x:c>
      <x:c r="O85" s="12" t="str"/>
    </x:row>
    <x:row r="86">
      <x:c r="A86" s="12" t="str">
        <x:v>ADM-0085</x:v>
      </x:c>
      <x:c r="B86" s="14" t="n">
        <x:v>46221</x:v>
      </x:c>
      <x:c r="C86" s="12" t="str">
        <x:v>Invoice</x:v>
      </x:c>
      <x:c r="D86" s="12" t="str">
        <x:v>Requester 35</x:v>
      </x:c>
      <x:c r="E86" s="12" t="str">
        <x:v>Admin A</x:v>
      </x:c>
      <x:c r="F86" s="12" t="str">
        <x:v>Low</x:v>
      </x:c>
      <x:c r="G86" s="12" t="str">
        <x:v>Pending Verification</x:v>
      </x:c>
      <x:c r="H86" s="14" t="n">
        <x:v>46226</x:v>
      </x:c>
      <x:c r="I86" s="14"/>
      <x:c r="J86" s="12" t="n">
        <x:f>IF(I86&lt;&gt;"",I86-B86,TODAY()-B86)</x:f>
        <x:v>35</x:v>
      </x:c>
      <x:c r="K86" s="12" t="n">
        <x:v>5</x:v>
      </x:c>
      <x:c r="L86" s="12" t="str">
        <x:f>IF(G86="Completed",IF(J86&lt;=K86,"Within SLA","Late"),IF(TODAY()&lt;=H86,"Within SLA","Overdue"))</x:f>
        <x:v>Overdue</x:v>
      </x:c>
      <x:c r="M86" s="12" t="str">
        <x:v>Complete</x:v>
      </x:c>
      <x:c r="N86" s="12" t="str">
        <x:v>Unique</x:v>
      </x:c>
      <x:c r="O86" s="12" t="str"/>
    </x:row>
    <x:row r="87">
      <x:c r="A87" s="12" t="str">
        <x:v>ADM-0086</x:v>
      </x:c>
      <x:c r="B87" s="14" t="n">
        <x:v>46226</x:v>
      </x:c>
      <x:c r="C87" s="12" t="str">
        <x:v>Purchase Order</x:v>
      </x:c>
      <x:c r="D87" s="12" t="str">
        <x:v>Requester 13</x:v>
      </x:c>
      <x:c r="E87" s="12" t="str">
        <x:v>Admin A</x:v>
      </x:c>
      <x:c r="F87" s="12" t="str">
        <x:v>Medium</x:v>
      </x:c>
      <x:c r="G87" s="12" t="str">
        <x:v>Completed</x:v>
      </x:c>
      <x:c r="H87" s="14" t="n">
        <x:v>46229</x:v>
      </x:c>
      <x:c r="I87" s="14" t="n">
        <x:v>46226</x:v>
      </x:c>
      <x:c r="J87" s="12" t="n">
        <x:f>IF(I87&lt;&gt;"",I87-B87,TODAY()-B87)</x:f>
        <x:v>0</x:v>
      </x:c>
      <x:c r="K87" s="12" t="n">
        <x:v>3</x:v>
      </x:c>
      <x:c r="L87" s="12" t="str">
        <x:f>IF(G87="Completed",IF(J87&lt;=K87,"Within SLA","Late"),IF(TODAY()&lt;=H87,"Within SLA","Overdue"))</x:f>
        <x:v>Within SLA</x:v>
      </x:c>
      <x:c r="M87" s="12" t="str">
        <x:v>Complete</x:v>
      </x:c>
      <x:c r="N87" s="12" t="str">
        <x:v>Unique</x:v>
      </x:c>
      <x:c r="O87" s="12" t="str"/>
    </x:row>
    <x:row r="88">
      <x:c r="A88" s="12" t="str">
        <x:v>ADM-0087</x:v>
      </x:c>
      <x:c r="B88" s="14" t="n">
        <x:v>46243</x:v>
      </x:c>
      <x:c r="C88" s="12" t="str">
        <x:v>Customer Form</x:v>
      </x:c>
      <x:c r="D88" s="12" t="str">
        <x:v>Requester 14</x:v>
      </x:c>
      <x:c r="E88" s="12" t="str">
        <x:v>Admin D</x:v>
      </x:c>
      <x:c r="F88" s="12" t="str">
        <x:v>Low</x:v>
      </x:c>
      <x:c r="G88" s="12" t="str">
        <x:v>Completed</x:v>
      </x:c>
      <x:c r="H88" s="14" t="n">
        <x:v>46248</x:v>
      </x:c>
      <x:c r="I88" s="14" t="n">
        <x:v>46250</x:v>
      </x:c>
      <x:c r="J88" s="12" t="n">
        <x:f>IF(I88&lt;&gt;"",I88-B88,TODAY()-B88)</x:f>
        <x:v>7</x:v>
      </x:c>
      <x:c r="K88" s="12" t="n">
        <x:v>5</x:v>
      </x:c>
      <x:c r="L88" s="12" t="str">
        <x:f>IF(G88="Completed",IF(J88&lt;=K88,"Within SLA","Late"),IF(TODAY()&lt;=H88,"Within SLA","Overdue"))</x:f>
        <x:v>Late</x:v>
      </x:c>
      <x:c r="M88" s="12" t="str">
        <x:v>Complete</x:v>
      </x:c>
      <x:c r="N88" s="12" t="str">
        <x:v>Unique</x:v>
      </x:c>
      <x:c r="O88" s="12" t="str"/>
    </x:row>
    <x:row r="89">
      <x:c r="A89" s="12" t="str">
        <x:v>ADM-0088</x:v>
      </x:c>
      <x:c r="B89" s="14" t="n">
        <x:v>46248</x:v>
      </x:c>
      <x:c r="C89" s="12" t="str">
        <x:v>Vendor Form</x:v>
      </x:c>
      <x:c r="D89" s="12" t="str">
        <x:v>Requester 08</x:v>
      </x:c>
      <x:c r="E89" s="12" t="str">
        <x:v>Admin B</x:v>
      </x:c>
      <x:c r="F89" s="12" t="str">
        <x:v>Medium</x:v>
      </x:c>
      <x:c r="G89" s="12" t="str">
        <x:v>Completed</x:v>
      </x:c>
      <x:c r="H89" s="14" t="n">
        <x:v>46251</x:v>
      </x:c>
      <x:c r="I89" s="14" t="n">
        <x:v>46250</x:v>
      </x:c>
      <x:c r="J89" s="12" t="n">
        <x:f>IF(I89&lt;&gt;"",I89-B89,TODAY()-B89)</x:f>
        <x:v>2</x:v>
      </x:c>
      <x:c r="K89" s="12" t="n">
        <x:v>3</x:v>
      </x:c>
      <x:c r="L89" s="12" t="str">
        <x:f>IF(G89="Completed",IF(J89&lt;=K89,"Within SLA","Late"),IF(TODAY()&lt;=H89,"Within SLA","Overdue"))</x:f>
        <x:v>Within SLA</x:v>
      </x:c>
      <x:c r="M89" s="12" t="str">
        <x:v>Complete</x:v>
      </x:c>
      <x:c r="N89" s="12" t="str">
        <x:v>Unique</x:v>
      </x:c>
      <x:c r="O89" s="12" t="str"/>
    </x:row>
    <x:row r="90">
      <x:c r="A90" s="12" t="str">
        <x:v>ADM-0089</x:v>
      </x:c>
      <x:c r="B90" s="14" t="n">
        <x:v>46223</x:v>
      </x:c>
      <x:c r="C90" s="12" t="str">
        <x:v>Contract</x:v>
      </x:c>
      <x:c r="D90" s="12" t="str">
        <x:v>Requester 26</x:v>
      </x:c>
      <x:c r="E90" s="12" t="str">
        <x:v>Admin B</x:v>
      </x:c>
      <x:c r="F90" s="12" t="str">
        <x:v>Medium</x:v>
      </x:c>
      <x:c r="G90" s="12" t="str">
        <x:v>Completed</x:v>
      </x:c>
      <x:c r="H90" s="14" t="n">
        <x:v>46226</x:v>
      </x:c>
      <x:c r="I90" s="14" t="n">
        <x:v>46227</x:v>
      </x:c>
      <x:c r="J90" s="12" t="n">
        <x:f>IF(I90&lt;&gt;"",I90-B90,TODAY()-B90)</x:f>
        <x:v>4</x:v>
      </x:c>
      <x:c r="K90" s="12" t="n">
        <x:v>3</x:v>
      </x:c>
      <x:c r="L90" s="12" t="str">
        <x:f>IF(G90="Completed",IF(J90&lt;=K90,"Within SLA","Late"),IF(TODAY()&lt;=H90,"Within SLA","Overdue"))</x:f>
        <x:v>Late</x:v>
      </x:c>
      <x:c r="M90" s="12" t="str">
        <x:v>Complete</x:v>
      </x:c>
      <x:c r="N90" s="12" t="str">
        <x:v>Unique</x:v>
      </x:c>
      <x:c r="O90" s="12" t="str"/>
    </x:row>
    <x:row r="91">
      <x:c r="A91" s="12" t="str">
        <x:v>ADM-0090</x:v>
      </x:c>
      <x:c r="B91" s="14" t="n">
        <x:v>46208</x:v>
      </x:c>
      <x:c r="C91" s="12" t="str">
        <x:v>Invoice</x:v>
      </x:c>
      <x:c r="D91" s="12" t="str">
        <x:v>Requester 45</x:v>
      </x:c>
      <x:c r="E91" s="12" t="str">
        <x:v>Admin C</x:v>
      </x:c>
      <x:c r="F91" s="12" t="str">
        <x:v>Medium</x:v>
      </x:c>
      <x:c r="G91" s="12" t="str">
        <x:v>Incomplete</x:v>
      </x:c>
      <x:c r="H91" s="14" t="n">
        <x:v>46211</x:v>
      </x:c>
      <x:c r="I91" s="14"/>
      <x:c r="J91" s="12" t="n">
        <x:f>IF(I91&lt;&gt;"",I91-B91,TODAY()-B91)</x:f>
        <x:v>48</x:v>
      </x:c>
      <x:c r="K91" s="12" t="n">
        <x:v>3</x:v>
      </x:c>
      <x:c r="L91" s="12" t="str">
        <x:f>IF(G91="Completed",IF(J91&lt;=K91,"Within SLA","Late"),IF(TODAY()&lt;=H91,"Within SLA","Overdue"))</x:f>
        <x:v>Overdue</x:v>
      </x:c>
      <x:c r="M91" s="12" t="str">
        <x:v>Complete</x:v>
      </x:c>
      <x:c r="N91" s="12" t="str">
        <x:v>Unique</x:v>
      </x:c>
      <x:c r="O91" s="12" t="str"/>
    </x:row>
    <x:row r="92">
      <x:c r="A92" s="12" t="str">
        <x:v>ADM-0091</x:v>
      </x:c>
      <x:c r="B92" s="14" t="n">
        <x:v>46247</x:v>
      </x:c>
      <x:c r="C92" s="12" t="str">
        <x:v>Customer Form</x:v>
      </x:c>
      <x:c r="D92" s="12" t="str">
        <x:v>Requester 03</x:v>
      </x:c>
      <x:c r="E92" s="12" t="str">
        <x:v>Admin C</x:v>
      </x:c>
      <x:c r="F92" s="12" t="str">
        <x:v>High</x:v>
      </x:c>
      <x:c r="G92" s="12" t="str">
        <x:v>Incomplete</x:v>
      </x:c>
      <x:c r="H92" s="14" t="n">
        <x:v>46248</x:v>
      </x:c>
      <x:c r="I92" s="14"/>
      <x:c r="J92" s="12" t="n">
        <x:f>IF(I92&lt;&gt;"",I92-B92,TODAY()-B92)</x:f>
        <x:v>9</x:v>
      </x:c>
      <x:c r="K92" s="12" t="n">
        <x:v>1</x:v>
      </x:c>
      <x:c r="L92" s="12" t="str">
        <x:f>IF(G92="Completed",IF(J92&lt;=K92,"Within SLA","Late"),IF(TODAY()&lt;=H92,"Within SLA","Overdue"))</x:f>
        <x:v>Overdue</x:v>
      </x:c>
      <x:c r="M92" s="12" t="str">
        <x:v>Complete</x:v>
      </x:c>
      <x:c r="N92" s="12" t="str">
        <x:v>Unique</x:v>
      </x:c>
      <x:c r="O92" s="12" t="str"/>
    </x:row>
    <x:row r="93">
      <x:c r="A93" s="12" t="str">
        <x:v>ADM-0092</x:v>
      </x:c>
      <x:c r="B93" s="14" t="n">
        <x:v>46238</x:v>
      </x:c>
      <x:c r="C93" s="12" t="str">
        <x:v>Vendor Form</x:v>
      </x:c>
      <x:c r="D93" s="12" t="str">
        <x:v>Requester 22</x:v>
      </x:c>
      <x:c r="E93" s="12" t="str">
        <x:v>Admin A</x:v>
      </x:c>
      <x:c r="F93" s="12" t="str">
        <x:v>Medium</x:v>
      </x:c>
      <x:c r="G93" s="12" t="str">
        <x:v>Pending Verification</x:v>
      </x:c>
      <x:c r="H93" s="14" t="n">
        <x:v>46241</x:v>
      </x:c>
      <x:c r="I93" s="14"/>
      <x:c r="J93" s="12" t="n">
        <x:f>IF(I93&lt;&gt;"",I93-B93,TODAY()-B93)</x:f>
        <x:v>18</x:v>
      </x:c>
      <x:c r="K93" s="12" t="n">
        <x:v>3</x:v>
      </x:c>
      <x:c r="L93" s="12" t="str">
        <x:f>IF(G93="Completed",IF(J93&lt;=K93,"Within SLA","Late"),IF(TODAY()&lt;=H93,"Within SLA","Overdue"))</x:f>
        <x:v>Overdue</x:v>
      </x:c>
      <x:c r="M93" s="12" t="str">
        <x:v>Complete</x:v>
      </x:c>
      <x:c r="N93" s="12" t="str">
        <x:v>Unique</x:v>
      </x:c>
      <x:c r="O93" s="12" t="str"/>
    </x:row>
    <x:row r="94">
      <x:c r="A94" s="12" t="str">
        <x:v>ADM-0093</x:v>
      </x:c>
      <x:c r="B94" s="14" t="n">
        <x:v>46230</x:v>
      </x:c>
      <x:c r="C94" s="12" t="str">
        <x:v>Vendor Form</x:v>
      </x:c>
      <x:c r="D94" s="12" t="str">
        <x:v>Requester 30</x:v>
      </x:c>
      <x:c r="E94" s="12" t="str">
        <x:v>Admin B</x:v>
      </x:c>
      <x:c r="F94" s="12" t="str">
        <x:v>Low</x:v>
      </x:c>
      <x:c r="G94" s="12" t="str">
        <x:v>Pending Verification</x:v>
      </x:c>
      <x:c r="H94" s="14" t="n">
        <x:v>46235</x:v>
      </x:c>
      <x:c r="I94" s="14"/>
      <x:c r="J94" s="12" t="n">
        <x:f>IF(I94&lt;&gt;"",I94-B94,TODAY()-B94)</x:f>
        <x:v>26</x:v>
      </x:c>
      <x:c r="K94" s="12" t="n">
        <x:v>5</x:v>
      </x:c>
      <x:c r="L94" s="12" t="str">
        <x:f>IF(G94="Completed",IF(J94&lt;=K94,"Within SLA","Late"),IF(TODAY()&lt;=H94,"Within SLA","Overdue"))</x:f>
        <x:v>Overdue</x:v>
      </x:c>
      <x:c r="M94" s="12" t="str">
        <x:v>Missing Document</x:v>
      </x:c>
      <x:c r="N94" s="12" t="str">
        <x:v>Unique</x:v>
      </x:c>
      <x:c r="O94" s="12" t="str"/>
    </x:row>
    <x:row r="95">
      <x:c r="A95" s="12" t="str">
        <x:v>ADM-0094</x:v>
      </x:c>
      <x:c r="B95" s="14" t="n">
        <x:v>46231</x:v>
      </x:c>
      <x:c r="C95" s="12" t="str">
        <x:v>Customer Form</x:v>
      </x:c>
      <x:c r="D95" s="12" t="str">
        <x:v>Requester 31</x:v>
      </x:c>
      <x:c r="E95" s="12" t="str">
        <x:v>Admin D</x:v>
      </x:c>
      <x:c r="F95" s="12" t="str">
        <x:v>Medium</x:v>
      </x:c>
      <x:c r="G95" s="12" t="str">
        <x:v>Completed</x:v>
      </x:c>
      <x:c r="H95" s="14" t="n">
        <x:v>46234</x:v>
      </x:c>
      <x:c r="I95" s="14" t="n">
        <x:v>46235</x:v>
      </x:c>
      <x:c r="J95" s="12" t="n">
        <x:f>IF(I95&lt;&gt;"",I95-B95,TODAY()-B95)</x:f>
        <x:v>4</x:v>
      </x:c>
      <x:c r="K95" s="12" t="n">
        <x:v>3</x:v>
      </x:c>
      <x:c r="L95" s="12" t="str">
        <x:f>IF(G95="Completed",IF(J95&lt;=K95,"Within SLA","Late"),IF(TODAY()&lt;=H95,"Within SLA","Overdue"))</x:f>
        <x:v>Late</x:v>
      </x:c>
      <x:c r="M95" s="12" t="str">
        <x:v>Complete</x:v>
      </x:c>
      <x:c r="N95" s="12" t="str">
        <x:v>Unique</x:v>
      </x:c>
      <x:c r="O95" s="12" t="str"/>
    </x:row>
    <x:row r="96">
      <x:c r="A96" s="12" t="str">
        <x:v>ADM-0095</x:v>
      </x:c>
      <x:c r="B96" s="14" t="n">
        <x:v>46231</x:v>
      </x:c>
      <x:c r="C96" s="12" t="str">
        <x:v>Purchase Order</x:v>
      </x:c>
      <x:c r="D96" s="12" t="str">
        <x:v>Requester 06</x:v>
      </x:c>
      <x:c r="E96" s="12" t="str">
        <x:v>Admin C</x:v>
      </x:c>
      <x:c r="F96" s="12" t="str">
        <x:v>Medium</x:v>
      </x:c>
      <x:c r="G96" s="12" t="str">
        <x:v>Escalated</x:v>
      </x:c>
      <x:c r="H96" s="14" t="n">
        <x:v>46234</x:v>
      </x:c>
      <x:c r="I96" s="14"/>
      <x:c r="J96" s="12" t="n">
        <x:f>IF(I96&lt;&gt;"",I96-B96,TODAY()-B96)</x:f>
        <x:v>25</x:v>
      </x:c>
      <x:c r="K96" s="12" t="n">
        <x:v>3</x:v>
      </x:c>
      <x:c r="L96" s="12" t="str">
        <x:f>IF(G96="Completed",IF(J96&lt;=K96,"Within SLA","Late"),IF(TODAY()&lt;=H96,"Within SLA","Overdue"))</x:f>
        <x:v>Overdue</x:v>
      </x:c>
      <x:c r="M96" s="12" t="str">
        <x:v>Complete</x:v>
      </x:c>
      <x:c r="N96" s="12" t="str">
        <x:v>Unique</x:v>
      </x:c>
      <x:c r="O96" s="12" t="str"/>
    </x:row>
    <x:row r="97">
      <x:c r="A97" s="12" t="str">
        <x:v>ADM-0096</x:v>
      </x:c>
      <x:c r="B97" s="14" t="n">
        <x:v>46232</x:v>
      </x:c>
      <x:c r="C97" s="12" t="str">
        <x:v>Contract</x:v>
      </x:c>
      <x:c r="D97" s="12" t="str">
        <x:v>Requester 21</x:v>
      </x:c>
      <x:c r="E97" s="12" t="str">
        <x:v>Admin B</x:v>
      </x:c>
      <x:c r="F97" s="12" t="str">
        <x:v>Medium</x:v>
      </x:c>
      <x:c r="G97" s="12" t="str">
        <x:v>Completed</x:v>
      </x:c>
      <x:c r="H97" s="14" t="n">
        <x:v>46235</x:v>
      </x:c>
      <x:c r="I97" s="14" t="n">
        <x:v>46238</x:v>
      </x:c>
      <x:c r="J97" s="12" t="n">
        <x:f>IF(I97&lt;&gt;"",I97-B97,TODAY()-B97)</x:f>
        <x:v>6</x:v>
      </x:c>
      <x:c r="K97" s="12" t="n">
        <x:v>3</x:v>
      </x:c>
      <x:c r="L97" s="12" t="str">
        <x:f>IF(G97="Completed",IF(J97&lt;=K97,"Within SLA","Late"),IF(TODAY()&lt;=H97,"Within SLA","Overdue"))</x:f>
        <x:v>Late</x:v>
      </x:c>
      <x:c r="M97" s="12" t="str">
        <x:v>Complete</x:v>
      </x:c>
      <x:c r="N97" s="12" t="str">
        <x:v>Unique</x:v>
      </x:c>
      <x:c r="O97" s="12" t="str"/>
    </x:row>
    <x:row r="98">
      <x:c r="A98" s="12" t="str">
        <x:v>ADM-0097</x:v>
      </x:c>
      <x:c r="B98" s="14" t="n">
        <x:v>46235</x:v>
      </x:c>
      <x:c r="C98" s="12" t="str">
        <x:v>Customer Form</x:v>
      </x:c>
      <x:c r="D98" s="12" t="str">
        <x:v>Requester 45</x:v>
      </x:c>
      <x:c r="E98" s="12" t="str">
        <x:v>Admin C</x:v>
      </x:c>
      <x:c r="F98" s="12" t="str">
        <x:v>Medium</x:v>
      </x:c>
      <x:c r="G98" s="12" t="str">
        <x:v>Completed</x:v>
      </x:c>
      <x:c r="H98" s="14" t="n">
        <x:v>46238</x:v>
      </x:c>
      <x:c r="I98" s="14" t="n">
        <x:v>46239</x:v>
      </x:c>
      <x:c r="J98" s="12" t="n">
        <x:f>IF(I98&lt;&gt;"",I98-B98,TODAY()-B98)</x:f>
        <x:v>4</x:v>
      </x:c>
      <x:c r="K98" s="12" t="n">
        <x:v>3</x:v>
      </x:c>
      <x:c r="L98" s="12" t="str">
        <x:f>IF(G98="Completed",IF(J98&lt;=K98,"Within SLA","Late"),IF(TODAY()&lt;=H98,"Within SLA","Overdue"))</x:f>
        <x:v>Late</x:v>
      </x:c>
      <x:c r="M98" s="12" t="str">
        <x:v>Complete</x:v>
      </x:c>
      <x:c r="N98" s="12" t="str">
        <x:v>Unique</x:v>
      </x:c>
      <x:c r="O98" s="12" t="str"/>
    </x:row>
    <x:row r="99">
      <x:c r="A99" s="12" t="str">
        <x:v>ADM-0098</x:v>
      </x:c>
      <x:c r="B99" s="14" t="n">
        <x:v>46239</x:v>
      </x:c>
      <x:c r="C99" s="12" t="str">
        <x:v>Vendor Form</x:v>
      </x:c>
      <x:c r="D99" s="12" t="str">
        <x:v>Requester 27</x:v>
      </x:c>
      <x:c r="E99" s="12" t="str">
        <x:v>Admin D</x:v>
      </x:c>
      <x:c r="F99" s="12" t="str">
        <x:v>Medium</x:v>
      </x:c>
      <x:c r="G99" s="12" t="str">
        <x:v>Completed</x:v>
      </x:c>
      <x:c r="H99" s="14" t="n">
        <x:v>46242</x:v>
      </x:c>
      <x:c r="I99" s="14" t="n">
        <x:v>46242</x:v>
      </x:c>
      <x:c r="J99" s="12" t="n">
        <x:f>IF(I99&lt;&gt;"",I99-B99,TODAY()-B99)</x:f>
        <x:v>3</x:v>
      </x:c>
      <x:c r="K99" s="12" t="n">
        <x:v>3</x:v>
      </x:c>
      <x:c r="L99" s="12" t="str">
        <x:f>IF(G99="Completed",IF(J99&lt;=K99,"Within SLA","Late"),IF(TODAY()&lt;=H99,"Within SLA","Overdue"))</x:f>
        <x:v>Within SLA</x:v>
      </x:c>
      <x:c r="M99" s="12" t="str">
        <x:v>Complete</x:v>
      </x:c>
      <x:c r="N99" s="12" t="str">
        <x:v>Unique</x:v>
      </x:c>
      <x:c r="O99" s="12" t="str"/>
    </x:row>
    <x:row r="100">
      <x:c r="A100" s="12" t="str">
        <x:v>ADM-0099</x:v>
      </x:c>
      <x:c r="B100" s="14" t="n">
        <x:v>46239</x:v>
      </x:c>
      <x:c r="C100" s="12" t="str">
        <x:v>Invoice</x:v>
      </x:c>
      <x:c r="D100" s="12" t="str">
        <x:v>Requester 06</x:v>
      </x:c>
      <x:c r="E100" s="12" t="str">
        <x:v>Admin C</x:v>
      </x:c>
      <x:c r="F100" s="12" t="str">
        <x:v>Medium</x:v>
      </x:c>
      <x:c r="G100" s="12" t="str">
        <x:v>Completed</x:v>
      </x:c>
      <x:c r="H100" s="14" t="n">
        <x:v>46242</x:v>
      </x:c>
      <x:c r="I100" s="14" t="n">
        <x:v>46246</x:v>
      </x:c>
      <x:c r="J100" s="12" t="n">
        <x:f>IF(I100&lt;&gt;"",I100-B100,TODAY()-B100)</x:f>
        <x:v>7</x:v>
      </x:c>
      <x:c r="K100" s="12" t="n">
        <x:v>3</x:v>
      </x:c>
      <x:c r="L100" s="12" t="str">
        <x:f>IF(G100="Completed",IF(J100&lt;=K100,"Within SLA","Late"),IF(TODAY()&lt;=H100,"Within SLA","Overdue"))</x:f>
        <x:v>Late</x:v>
      </x:c>
      <x:c r="M100" s="12" t="str">
        <x:v>Complete</x:v>
      </x:c>
      <x:c r="N100" s="12" t="str">
        <x:v>Unique</x:v>
      </x:c>
      <x:c r="O100" s="12" t="str"/>
    </x:row>
    <x:row r="101">
      <x:c r="A101" s="12" t="str">
        <x:v>ADM-0100</x:v>
      </x:c>
      <x:c r="B101" s="14" t="n">
        <x:v>46218</x:v>
      </x:c>
      <x:c r="C101" s="12" t="str">
        <x:v>Customer Form</x:v>
      </x:c>
      <x:c r="D101" s="12" t="str">
        <x:v>Requester 24</x:v>
      </x:c>
      <x:c r="E101" s="12" t="str">
        <x:v>Admin D</x:v>
      </x:c>
      <x:c r="F101" s="12" t="str">
        <x:v>Medium</x:v>
      </x:c>
      <x:c r="G101" s="12" t="str">
        <x:v>Pending Verification</x:v>
      </x:c>
      <x:c r="H101" s="14" t="n">
        <x:v>46221</x:v>
      </x:c>
      <x:c r="I101" s="14"/>
      <x:c r="J101" s="12" t="n">
        <x:f>IF(I101&lt;&gt;"",I101-B101,TODAY()-B101)</x:f>
        <x:v>38</x:v>
      </x:c>
      <x:c r="K101" s="12" t="n">
        <x:v>3</x:v>
      </x:c>
      <x:c r="L101" s="12" t="str">
        <x:f>IF(G101="Completed",IF(J101&lt;=K101,"Within SLA","Late"),IF(TODAY()&lt;=H101,"Within SLA","Overdue"))</x:f>
        <x:v>Overdue</x:v>
      </x:c>
      <x:c r="M101" s="12" t="str">
        <x:v>Complete</x:v>
      </x:c>
      <x:c r="N101" s="12" t="str">
        <x:v>Unique</x:v>
      </x:c>
      <x:c r="O101" s="12" t="str"/>
    </x:row>
    <x:row r="102">
      <x:c r="A102" s="12" t="str">
        <x:v>ADM-0101</x:v>
      </x:c>
      <x:c r="B102" s="14" t="n">
        <x:v>46239</x:v>
      </x:c>
      <x:c r="C102" s="12" t="str">
        <x:v>Customer Form</x:v>
      </x:c>
      <x:c r="D102" s="12" t="str">
        <x:v>Requester 22</x:v>
      </x:c>
      <x:c r="E102" s="12" t="str">
        <x:v>Admin C</x:v>
      </x:c>
      <x:c r="F102" s="12" t="str">
        <x:v>Medium</x:v>
      </x:c>
      <x:c r="G102" s="12" t="str">
        <x:v>Incomplete</x:v>
      </x:c>
      <x:c r="H102" s="14" t="n">
        <x:v>46242</x:v>
      </x:c>
      <x:c r="I102" s="14"/>
      <x:c r="J102" s="12" t="n">
        <x:f>IF(I102&lt;&gt;"",I102-B102,TODAY()-B102)</x:f>
        <x:v>17</x:v>
      </x:c>
      <x:c r="K102" s="12" t="n">
        <x:v>3</x:v>
      </x:c>
      <x:c r="L102" s="12" t="str">
        <x:f>IF(G102="Completed",IF(J102&lt;=K102,"Within SLA","Late"),IF(TODAY()&lt;=H102,"Within SLA","Overdue"))</x:f>
        <x:v>Overdue</x:v>
      </x:c>
      <x:c r="M102" s="12" t="str">
        <x:v>Missing Document</x:v>
      </x:c>
      <x:c r="N102" s="12" t="str">
        <x:v>Unique</x:v>
      </x:c>
      <x:c r="O102" s="12" t="str"/>
    </x:row>
    <x:row r="103">
      <x:c r="A103" s="12" t="str">
        <x:v>ADM-0102</x:v>
      </x:c>
      <x:c r="B103" s="14" t="n">
        <x:v>46248</x:v>
      </x:c>
      <x:c r="C103" s="12" t="str">
        <x:v>Invoice</x:v>
      </x:c>
      <x:c r="D103" s="12" t="str">
        <x:v>Requester 13</x:v>
      </x:c>
      <x:c r="E103" s="12" t="str">
        <x:v>Admin C</x:v>
      </x:c>
      <x:c r="F103" s="12" t="str">
        <x:v>Low</x:v>
      </x:c>
      <x:c r="G103" s="12" t="str">
        <x:v>Pending Verification</x:v>
      </x:c>
      <x:c r="H103" s="14" t="n">
        <x:v>46253</x:v>
      </x:c>
      <x:c r="I103" s="14"/>
      <x:c r="J103" s="12" t="n">
        <x:f>IF(I103&lt;&gt;"",I103-B103,TODAY()-B103)</x:f>
        <x:v>8</x:v>
      </x:c>
      <x:c r="K103" s="12" t="n">
        <x:v>5</x:v>
      </x:c>
      <x:c r="L103" s="12" t="str">
        <x:f>IF(G103="Completed",IF(J103&lt;=K103,"Within SLA","Late"),IF(TODAY()&lt;=H103,"Within SLA","Overdue"))</x:f>
        <x:v>Overdue</x:v>
      </x:c>
      <x:c r="M103" s="12" t="str">
        <x:v>Complete</x:v>
      </x:c>
      <x:c r="N103" s="12" t="str">
        <x:v>Unique</x:v>
      </x:c>
      <x:c r="O103" s="12" t="str"/>
    </x:row>
    <x:row r="104">
      <x:c r="A104" s="12" t="str">
        <x:v>ADM-0103</x:v>
      </x:c>
      <x:c r="B104" s="14" t="n">
        <x:v>46211</x:v>
      </x:c>
      <x:c r="C104" s="12" t="str">
        <x:v>Purchase Order</x:v>
      </x:c>
      <x:c r="D104" s="12" t="str">
        <x:v>Requester 13</x:v>
      </x:c>
      <x:c r="E104" s="12" t="str">
        <x:v>Admin B</x:v>
      </x:c>
      <x:c r="F104" s="12" t="str">
        <x:v>Medium</x:v>
      </x:c>
      <x:c r="G104" s="12" t="str">
        <x:v>Escalated</x:v>
      </x:c>
      <x:c r="H104" s="14" t="n">
        <x:v>46214</x:v>
      </x:c>
      <x:c r="I104" s="14"/>
      <x:c r="J104" s="12" t="n">
        <x:f>IF(I104&lt;&gt;"",I104-B104,TODAY()-B104)</x:f>
        <x:v>45</x:v>
      </x:c>
      <x:c r="K104" s="12" t="n">
        <x:v>3</x:v>
      </x:c>
      <x:c r="L104" s="12" t="str">
        <x:f>IF(G104="Completed",IF(J104&lt;=K104,"Within SLA","Late"),IF(TODAY()&lt;=H104,"Within SLA","Overdue"))</x:f>
        <x:v>Overdue</x:v>
      </x:c>
      <x:c r="M104" s="12" t="str">
        <x:v>Complete</x:v>
      </x:c>
      <x:c r="N104" s="12" t="str">
        <x:v>Duplicate</x:v>
      </x:c>
      <x:c r="O104" s="12" t="str"/>
    </x:row>
    <x:row r="105">
      <x:c r="A105" s="12" t="str">
        <x:v>ADM-0104</x:v>
      </x:c>
      <x:c r="B105" s="14" t="n">
        <x:v>46251</x:v>
      </x:c>
      <x:c r="C105" s="12" t="str">
        <x:v>Other</x:v>
      </x:c>
      <x:c r="D105" s="12" t="str">
        <x:v>Requester 34</x:v>
      </x:c>
      <x:c r="E105" s="12" t="str">
        <x:v>Admin C</x:v>
      </x:c>
      <x:c r="F105" s="12" t="str">
        <x:v>Low</x:v>
      </x:c>
      <x:c r="G105" s="12" t="str">
        <x:v>Pending Verification</x:v>
      </x:c>
      <x:c r="H105" s="14" t="n">
        <x:v>46256</x:v>
      </x:c>
      <x:c r="I105" s="14"/>
      <x:c r="J105" s="12" t="n">
        <x:f>IF(I105&lt;&gt;"",I105-B105,TODAY()-B105)</x:f>
        <x:v>5</x:v>
      </x:c>
      <x:c r="K105" s="12" t="n">
        <x:v>5</x:v>
      </x:c>
      <x:c r="L105" s="12" t="str">
        <x:f>IF(G105="Completed",IF(J105&lt;=K105,"Within SLA","Late"),IF(TODAY()&lt;=H105,"Within SLA","Overdue"))</x:f>
        <x:v>Within SLA</x:v>
      </x:c>
      <x:c r="M105" s="12" t="str">
        <x:v>Complete</x:v>
      </x:c>
      <x:c r="N105" s="12" t="str">
        <x:v>Unique</x:v>
      </x:c>
      <x:c r="O105" s="12" t="str"/>
    </x:row>
    <x:row r="106">
      <x:c r="A106" s="12" t="str">
        <x:v>ADM-0105</x:v>
      </x:c>
      <x:c r="B106" s="14" t="n">
        <x:v>46210</x:v>
      </x:c>
      <x:c r="C106" s="12" t="str">
        <x:v>Invoice</x:v>
      </x:c>
      <x:c r="D106" s="12" t="str">
        <x:v>Requester 35</x:v>
      </x:c>
      <x:c r="E106" s="12" t="str">
        <x:v>Admin B</x:v>
      </x:c>
      <x:c r="F106" s="12" t="str">
        <x:v>Low</x:v>
      </x:c>
      <x:c r="G106" s="12" t="str">
        <x:v>Completed</x:v>
      </x:c>
      <x:c r="H106" s="14" t="n">
        <x:v>46215</x:v>
      </x:c>
      <x:c r="I106" s="14" t="n">
        <x:v>46215</x:v>
      </x:c>
      <x:c r="J106" s="12" t="n">
        <x:f>IF(I106&lt;&gt;"",I106-B106,TODAY()-B106)</x:f>
        <x:v>5</x:v>
      </x:c>
      <x:c r="K106" s="12" t="n">
        <x:v>5</x:v>
      </x:c>
      <x:c r="L106" s="12" t="str">
        <x:f>IF(G106="Completed",IF(J106&lt;=K106,"Within SLA","Late"),IF(TODAY()&lt;=H106,"Within SLA","Overdue"))</x:f>
        <x:v>Within SLA</x:v>
      </x:c>
      <x:c r="M106" s="12" t="str">
        <x:v>Complete</x:v>
      </x:c>
      <x:c r="N106" s="12" t="str">
        <x:v>Unique</x:v>
      </x:c>
      <x:c r="O106" s="12" t="str"/>
    </x:row>
    <x:row r="107">
      <x:c r="A107" s="12" t="str">
        <x:v>ADM-0106</x:v>
      </x:c>
      <x:c r="B107" s="14" t="n">
        <x:v>46221</x:v>
      </x:c>
      <x:c r="C107" s="12" t="str">
        <x:v>Purchase Order</x:v>
      </x:c>
      <x:c r="D107" s="12" t="str">
        <x:v>Requester 41</x:v>
      </x:c>
      <x:c r="E107" s="12" t="str">
        <x:v>Admin D</x:v>
      </x:c>
      <x:c r="F107" s="12" t="str">
        <x:v>High</x:v>
      </x:c>
      <x:c r="G107" s="12" t="str">
        <x:v>Completed</x:v>
      </x:c>
      <x:c r="H107" s="14" t="n">
        <x:v>46222</x:v>
      </x:c>
      <x:c r="I107" s="14" t="n">
        <x:v>46225</x:v>
      </x:c>
      <x:c r="J107" s="12" t="n">
        <x:f>IF(I107&lt;&gt;"",I107-B107,TODAY()-B107)</x:f>
        <x:v>4</x:v>
      </x:c>
      <x:c r="K107" s="12" t="n">
        <x:v>1</x:v>
      </x:c>
      <x:c r="L107" s="12" t="str">
        <x:f>IF(G107="Completed",IF(J107&lt;=K107,"Within SLA","Late"),IF(TODAY()&lt;=H107,"Within SLA","Overdue"))</x:f>
        <x:v>Late</x:v>
      </x:c>
      <x:c r="M107" s="12" t="str">
        <x:v>Complete</x:v>
      </x:c>
      <x:c r="N107" s="12" t="str">
        <x:v>Unique</x:v>
      </x:c>
      <x:c r="O107" s="12" t="str"/>
    </x:row>
    <x:row r="108">
      <x:c r="A108" s="12" t="str">
        <x:v>ADM-0107</x:v>
      </x:c>
      <x:c r="B108" s="14" t="n">
        <x:v>46210</x:v>
      </x:c>
      <x:c r="C108" s="12" t="str">
        <x:v>Delivery Note</x:v>
      </x:c>
      <x:c r="D108" s="12" t="str">
        <x:v>Requester 12</x:v>
      </x:c>
      <x:c r="E108" s="12" t="str">
        <x:v>Admin A</x:v>
      </x:c>
      <x:c r="F108" s="12" t="str">
        <x:v>Medium</x:v>
      </x:c>
      <x:c r="G108" s="12" t="str">
        <x:v>Completed</x:v>
      </x:c>
      <x:c r="H108" s="14" t="n">
        <x:v>46213</x:v>
      </x:c>
      <x:c r="I108" s="14" t="n">
        <x:v>46217</x:v>
      </x:c>
      <x:c r="J108" s="12" t="n">
        <x:f>IF(I108&lt;&gt;"",I108-B108,TODAY()-B108)</x:f>
        <x:v>7</x:v>
      </x:c>
      <x:c r="K108" s="12" t="n">
        <x:v>3</x:v>
      </x:c>
      <x:c r="L108" s="12" t="str">
        <x:f>IF(G108="Completed",IF(J108&lt;=K108,"Within SLA","Late"),IF(TODAY()&lt;=H108,"Within SLA","Overdue"))</x:f>
        <x:v>Late</x:v>
      </x:c>
      <x:c r="M108" s="12" t="str">
        <x:v>Complete</x:v>
      </x:c>
      <x:c r="N108" s="12" t="str">
        <x:v>Unique</x:v>
      </x:c>
      <x:c r="O108" s="12" t="str"/>
    </x:row>
    <x:row r="109">
      <x:c r="A109" s="12" t="str">
        <x:v>ADM-0108</x:v>
      </x:c>
      <x:c r="B109" s="14" t="n">
        <x:v>46220</x:v>
      </x:c>
      <x:c r="C109" s="12" t="str">
        <x:v>Contract</x:v>
      </x:c>
      <x:c r="D109" s="12" t="str">
        <x:v>Requester 05</x:v>
      </x:c>
      <x:c r="E109" s="12" t="str">
        <x:v>Admin A</x:v>
      </x:c>
      <x:c r="F109" s="12" t="str">
        <x:v>Low</x:v>
      </x:c>
      <x:c r="G109" s="12" t="str">
        <x:v>Pending Verification</x:v>
      </x:c>
      <x:c r="H109" s="14" t="n">
        <x:v>46225</x:v>
      </x:c>
      <x:c r="I109" s="14"/>
      <x:c r="J109" s="12" t="n">
        <x:f>IF(I109&lt;&gt;"",I109-B109,TODAY()-B109)</x:f>
        <x:v>36</x:v>
      </x:c>
      <x:c r="K109" s="12" t="n">
        <x:v>5</x:v>
      </x:c>
      <x:c r="L109" s="12" t="str">
        <x:f>IF(G109="Completed",IF(J109&lt;=K109,"Within SLA","Late"),IF(TODAY()&lt;=H109,"Within SLA","Overdue"))</x:f>
        <x:v>Overdue</x:v>
      </x:c>
      <x:c r="M109" s="12" t="str">
        <x:v>Complete</x:v>
      </x:c>
      <x:c r="N109" s="12" t="str">
        <x:v>Unique</x:v>
      </x:c>
      <x:c r="O109" s="12" t="str"/>
    </x:row>
    <x:row r="110">
      <x:c r="A110" s="12" t="str">
        <x:v>ADM-0109</x:v>
      </x:c>
      <x:c r="B110" s="14" t="n">
        <x:v>46213</x:v>
      </x:c>
      <x:c r="C110" s="12" t="str">
        <x:v>Purchase Order</x:v>
      </x:c>
      <x:c r="D110" s="12" t="str">
        <x:v>Requester 08</x:v>
      </x:c>
      <x:c r="E110" s="12" t="str">
        <x:v>Admin D</x:v>
      </x:c>
      <x:c r="F110" s="12" t="str">
        <x:v>High</x:v>
      </x:c>
      <x:c r="G110" s="12" t="str">
        <x:v>Completed</x:v>
      </x:c>
      <x:c r="H110" s="14" t="n">
        <x:v>46214</x:v>
      </x:c>
      <x:c r="I110" s="14" t="n">
        <x:v>46217</x:v>
      </x:c>
      <x:c r="J110" s="12" t="n">
        <x:f>IF(I110&lt;&gt;"",I110-B110,TODAY()-B110)</x:f>
        <x:v>4</x:v>
      </x:c>
      <x:c r="K110" s="12" t="n">
        <x:v>1</x:v>
      </x:c>
      <x:c r="L110" s="12" t="str">
        <x:f>IF(G110="Completed",IF(J110&lt;=K110,"Within SLA","Late"),IF(TODAY()&lt;=H110,"Within SLA","Overdue"))</x:f>
        <x:v>Late</x:v>
      </x:c>
      <x:c r="M110" s="12" t="str">
        <x:v>Complete</x:v>
      </x:c>
      <x:c r="N110" s="12" t="str">
        <x:v>Unique</x:v>
      </x:c>
      <x:c r="O110" s="12" t="str"/>
    </x:row>
    <x:row r="111">
      <x:c r="A111" s="12" t="str">
        <x:v>ADM-0110</x:v>
      </x:c>
      <x:c r="B111" s="14" t="n">
        <x:v>46242</x:v>
      </x:c>
      <x:c r="C111" s="12" t="str">
        <x:v>Customer Form</x:v>
      </x:c>
      <x:c r="D111" s="12" t="str">
        <x:v>Requester 25</x:v>
      </x:c>
      <x:c r="E111" s="12" t="str">
        <x:v>Admin D</x:v>
      </x:c>
      <x:c r="F111" s="12" t="str">
        <x:v>Medium</x:v>
      </x:c>
      <x:c r="G111" s="12" t="str">
        <x:v>Incomplete</x:v>
      </x:c>
      <x:c r="H111" s="14" t="n">
        <x:v>46245</x:v>
      </x:c>
      <x:c r="I111" s="14"/>
      <x:c r="J111" s="12" t="n">
        <x:f>IF(I111&lt;&gt;"",I111-B111,TODAY()-B111)</x:f>
        <x:v>14</x:v>
      </x:c>
      <x:c r="K111" s="12" t="n">
        <x:v>3</x:v>
      </x:c>
      <x:c r="L111" s="12" t="str">
        <x:f>IF(G111="Completed",IF(J111&lt;=K111,"Within SLA","Late"),IF(TODAY()&lt;=H111,"Within SLA","Overdue"))</x:f>
        <x:v>Overdue</x:v>
      </x:c>
      <x:c r="M111" s="12" t="str">
        <x:v>Complete</x:v>
      </x:c>
      <x:c r="N111" s="12" t="str">
        <x:v>Unique</x:v>
      </x:c>
      <x:c r="O111" s="12" t="str"/>
    </x:row>
    <x:row r="112">
      <x:c r="A112" s="12" t="str">
        <x:v>ADM-0111</x:v>
      </x:c>
      <x:c r="B112" s="14" t="n">
        <x:v>46232</x:v>
      </x:c>
      <x:c r="C112" s="12" t="str">
        <x:v>Customer Form</x:v>
      </x:c>
      <x:c r="D112" s="12" t="str">
        <x:v>Requester 04</x:v>
      </x:c>
      <x:c r="E112" s="12" t="str">
        <x:v>Admin A</x:v>
      </x:c>
      <x:c r="F112" s="12" t="str">
        <x:v>High</x:v>
      </x:c>
      <x:c r="G112" s="12" t="str">
        <x:v>Completed</x:v>
      </x:c>
      <x:c r="H112" s="14" t="n">
        <x:v>46233</x:v>
      </x:c>
      <x:c r="I112" s="14" t="n">
        <x:v>46238</x:v>
      </x:c>
      <x:c r="J112" s="12" t="n">
        <x:f>IF(I112&lt;&gt;"",I112-B112,TODAY()-B112)</x:f>
        <x:v>6</x:v>
      </x:c>
      <x:c r="K112" s="12" t="n">
        <x:v>1</x:v>
      </x:c>
      <x:c r="L112" s="12" t="str">
        <x:f>IF(G112="Completed",IF(J112&lt;=K112,"Within SLA","Late"),IF(TODAY()&lt;=H112,"Within SLA","Overdue"))</x:f>
        <x:v>Late</x:v>
      </x:c>
      <x:c r="M112" s="12" t="str">
        <x:v>Complete</x:v>
      </x:c>
      <x:c r="N112" s="12" t="str">
        <x:v>Unique</x:v>
      </x:c>
      <x:c r="O112" s="12" t="str"/>
    </x:row>
    <x:row r="113">
      <x:c r="A113" s="12" t="str">
        <x:v>ADM-0112</x:v>
      </x:c>
      <x:c r="B113" s="14" t="n">
        <x:v>46252</x:v>
      </x:c>
      <x:c r="C113" s="12" t="str">
        <x:v>Purchase Order</x:v>
      </x:c>
      <x:c r="D113" s="12" t="str">
        <x:v>Requester 16</x:v>
      </x:c>
      <x:c r="E113" s="12" t="str">
        <x:v>Admin B</x:v>
      </x:c>
      <x:c r="F113" s="12" t="str">
        <x:v>Medium</x:v>
      </x:c>
      <x:c r="G113" s="12" t="str">
        <x:v>Completed</x:v>
      </x:c>
      <x:c r="H113" s="14" t="n">
        <x:v>46255</x:v>
      </x:c>
      <x:c r="I113" s="14" t="n">
        <x:v>46256</x:v>
      </x:c>
      <x:c r="J113" s="12" t="n">
        <x:f>IF(I113&lt;&gt;"",I113-B113,TODAY()-B113)</x:f>
        <x:v>4</x:v>
      </x:c>
      <x:c r="K113" s="12" t="n">
        <x:v>3</x:v>
      </x:c>
      <x:c r="L113" s="12" t="str">
        <x:f>IF(G113="Completed",IF(J113&lt;=K113,"Within SLA","Late"),IF(TODAY()&lt;=H113,"Within SLA","Overdue"))</x:f>
        <x:v>Late</x:v>
      </x:c>
      <x:c r="M113" s="12" t="str">
        <x:v>Complete</x:v>
      </x:c>
      <x:c r="N113" s="12" t="str">
        <x:v>Unique</x:v>
      </x:c>
      <x:c r="O113" s="12" t="str"/>
    </x:row>
    <x:row r="114">
      <x:c r="A114" s="12" t="str">
        <x:v>ADM-0113</x:v>
      </x:c>
      <x:c r="B114" s="14" t="n">
        <x:v>46239</x:v>
      </x:c>
      <x:c r="C114" s="12" t="str">
        <x:v>Customer Form</x:v>
      </x:c>
      <x:c r="D114" s="12" t="str">
        <x:v>Requester 31</x:v>
      </x:c>
      <x:c r="E114" s="12" t="str">
        <x:v>Admin C</x:v>
      </x:c>
      <x:c r="F114" s="12" t="str">
        <x:v>Low</x:v>
      </x:c>
      <x:c r="G114" s="12" t="str">
        <x:v>Completed</x:v>
      </x:c>
      <x:c r="H114" s="14" t="n">
        <x:v>46244</x:v>
      </x:c>
      <x:c r="I114" s="14" t="n">
        <x:v>46245</x:v>
      </x:c>
      <x:c r="J114" s="12" t="n">
        <x:f>IF(I114&lt;&gt;"",I114-B114,TODAY()-B114)</x:f>
        <x:v>6</x:v>
      </x:c>
      <x:c r="K114" s="12" t="n">
        <x:v>5</x:v>
      </x:c>
      <x:c r="L114" s="12" t="str">
        <x:f>IF(G114="Completed",IF(J114&lt;=K114,"Within SLA","Late"),IF(TODAY()&lt;=H114,"Within SLA","Overdue"))</x:f>
        <x:v>Late</x:v>
      </x:c>
      <x:c r="M114" s="12" t="str">
        <x:v>Complete</x:v>
      </x:c>
      <x:c r="N114" s="12" t="str">
        <x:v>Unique</x:v>
      </x:c>
      <x:c r="O114" s="12" t="str"/>
    </x:row>
    <x:row r="115">
      <x:c r="A115" s="12" t="str">
        <x:v>ADM-0114</x:v>
      </x:c>
      <x:c r="B115" s="14" t="n">
        <x:v>46206</x:v>
      </x:c>
      <x:c r="C115" s="12" t="str">
        <x:v>Contract</x:v>
      </x:c>
      <x:c r="D115" s="12" t="str">
        <x:v>Requester 05</x:v>
      </x:c>
      <x:c r="E115" s="12" t="str">
        <x:v>Admin B</x:v>
      </x:c>
      <x:c r="F115" s="12" t="str">
        <x:v>Low</x:v>
      </x:c>
      <x:c r="G115" s="12" t="str">
        <x:v>Completed</x:v>
      </x:c>
      <x:c r="H115" s="14" t="n">
        <x:v>46211</x:v>
      </x:c>
      <x:c r="I115" s="14" t="n">
        <x:v>46210</x:v>
      </x:c>
      <x:c r="J115" s="12" t="n">
        <x:f>IF(I115&lt;&gt;"",I115-B115,TODAY()-B115)</x:f>
        <x:v>4</x:v>
      </x:c>
      <x:c r="K115" s="12" t="n">
        <x:v>5</x:v>
      </x:c>
      <x:c r="L115" s="12" t="str">
        <x:f>IF(G115="Completed",IF(J115&lt;=K115,"Within SLA","Late"),IF(TODAY()&lt;=H115,"Within SLA","Overdue"))</x:f>
        <x:v>Within SLA</x:v>
      </x:c>
      <x:c r="M115" s="12" t="str">
        <x:v>Complete</x:v>
      </x:c>
      <x:c r="N115" s="12" t="str">
        <x:v>Unique</x:v>
      </x:c>
      <x:c r="O115" s="12" t="str"/>
    </x:row>
    <x:row r="116">
      <x:c r="A116" s="12" t="str">
        <x:v>ADM-0115</x:v>
      </x:c>
      <x:c r="B116" s="14" t="n">
        <x:v>46220</x:v>
      </x:c>
      <x:c r="C116" s="12" t="str">
        <x:v>Purchase Order</x:v>
      </x:c>
      <x:c r="D116" s="12" t="str">
        <x:v>Requester 28</x:v>
      </x:c>
      <x:c r="E116" s="12" t="str">
        <x:v>Admin A</x:v>
      </x:c>
      <x:c r="F116" s="12" t="str">
        <x:v>Medium</x:v>
      </x:c>
      <x:c r="G116" s="12" t="str">
        <x:v>Escalated</x:v>
      </x:c>
      <x:c r="H116" s="14" t="n">
        <x:v>46223</x:v>
      </x:c>
      <x:c r="I116" s="14"/>
      <x:c r="J116" s="12" t="n">
        <x:f>IF(I116&lt;&gt;"",I116-B116,TODAY()-B116)</x:f>
        <x:v>36</x:v>
      </x:c>
      <x:c r="K116" s="12" t="n">
        <x:v>3</x:v>
      </x:c>
      <x:c r="L116" s="12" t="str">
        <x:f>IF(G116="Completed",IF(J116&lt;=K116,"Within SLA","Late"),IF(TODAY()&lt;=H116,"Within SLA","Overdue"))</x:f>
        <x:v>Overdue</x:v>
      </x:c>
      <x:c r="M116" s="12" t="str">
        <x:v>Complete</x:v>
      </x:c>
      <x:c r="N116" s="12" t="str">
        <x:v>Unique</x:v>
      </x:c>
      <x:c r="O116" s="12" t="str"/>
    </x:row>
    <x:row r="117">
      <x:c r="A117" s="12" t="str">
        <x:v>ADM-0116</x:v>
      </x:c>
      <x:c r="B117" s="14" t="n">
        <x:v>46238</x:v>
      </x:c>
      <x:c r="C117" s="12" t="str">
        <x:v>Invoice</x:v>
      </x:c>
      <x:c r="D117" s="12" t="str">
        <x:v>Requester 04</x:v>
      </x:c>
      <x:c r="E117" s="12" t="str">
        <x:v>Admin B</x:v>
      </x:c>
      <x:c r="F117" s="12" t="str">
        <x:v>Medium</x:v>
      </x:c>
      <x:c r="G117" s="12" t="str">
        <x:v>Completed</x:v>
      </x:c>
      <x:c r="H117" s="14" t="n">
        <x:v>46241</x:v>
      </x:c>
      <x:c r="I117" s="14" t="n">
        <x:v>46242</x:v>
      </x:c>
      <x:c r="J117" s="12" t="n">
        <x:f>IF(I117&lt;&gt;"",I117-B117,TODAY()-B117)</x:f>
        <x:v>4</x:v>
      </x:c>
      <x:c r="K117" s="12" t="n">
        <x:v>3</x:v>
      </x:c>
      <x:c r="L117" s="12" t="str">
        <x:f>IF(G117="Completed",IF(J117&lt;=K117,"Within SLA","Late"),IF(TODAY()&lt;=H117,"Within SLA","Overdue"))</x:f>
        <x:v>Late</x:v>
      </x:c>
      <x:c r="M117" s="12" t="str">
        <x:v>Complete</x:v>
      </x:c>
      <x:c r="N117" s="12" t="str">
        <x:v>Unique</x:v>
      </x:c>
      <x:c r="O117" s="12" t="str"/>
    </x:row>
    <x:row r="118">
      <x:c r="A118" s="12" t="str">
        <x:v>ADM-0117</x:v>
      </x:c>
      <x:c r="B118" s="14" t="n">
        <x:v>46254</x:v>
      </x:c>
      <x:c r="C118" s="12" t="str">
        <x:v>Contract</x:v>
      </x:c>
      <x:c r="D118" s="12" t="str">
        <x:v>Requester 45</x:v>
      </x:c>
      <x:c r="E118" s="12" t="str">
        <x:v>Admin C</x:v>
      </x:c>
      <x:c r="F118" s="12" t="str">
        <x:v>Medium</x:v>
      </x:c>
      <x:c r="G118" s="12" t="str">
        <x:v>Completed</x:v>
      </x:c>
      <x:c r="H118" s="14" t="n">
        <x:v>46257</x:v>
      </x:c>
      <x:c r="I118" s="14" t="n">
        <x:v>46258</x:v>
      </x:c>
      <x:c r="J118" s="12" t="n">
        <x:f>IF(I118&lt;&gt;"",I118-B118,TODAY()-B118)</x:f>
        <x:v>4</x:v>
      </x:c>
      <x:c r="K118" s="12" t="n">
        <x:v>3</x:v>
      </x:c>
      <x:c r="L118" s="12" t="str">
        <x:f>IF(G118="Completed",IF(J118&lt;=K118,"Within SLA","Late"),IF(TODAY()&lt;=H118,"Within SLA","Overdue"))</x:f>
        <x:v>Late</x:v>
      </x:c>
      <x:c r="M118" s="12" t="str">
        <x:v>Complete</x:v>
      </x:c>
      <x:c r="N118" s="12" t="str">
        <x:v>Unique</x:v>
      </x:c>
      <x:c r="O118" s="12" t="str"/>
    </x:row>
    <x:row r="119">
      <x:c r="A119" s="12" t="str">
        <x:v>ADM-0118</x:v>
      </x:c>
      <x:c r="B119" s="14" t="n">
        <x:v>46248</x:v>
      </x:c>
      <x:c r="C119" s="12" t="str">
        <x:v>Contract</x:v>
      </x:c>
      <x:c r="D119" s="12" t="str">
        <x:v>Requester 29</x:v>
      </x:c>
      <x:c r="E119" s="12" t="str">
        <x:v>Admin A</x:v>
      </x:c>
      <x:c r="F119" s="12" t="str">
        <x:v>High</x:v>
      </x:c>
      <x:c r="G119" s="12" t="str">
        <x:v>Pending Verification</x:v>
      </x:c>
      <x:c r="H119" s="14" t="n">
        <x:v>46249</x:v>
      </x:c>
      <x:c r="I119" s="14"/>
      <x:c r="J119" s="12" t="n">
        <x:f>IF(I119&lt;&gt;"",I119-B119,TODAY()-B119)</x:f>
        <x:v>8</x:v>
      </x:c>
      <x:c r="K119" s="12" t="n">
        <x:v>1</x:v>
      </x:c>
      <x:c r="L119" s="12" t="str">
        <x:f>IF(G119="Completed",IF(J119&lt;=K119,"Within SLA","Late"),IF(TODAY()&lt;=H119,"Within SLA","Overdue"))</x:f>
        <x:v>Overdue</x:v>
      </x:c>
      <x:c r="M119" s="12" t="str">
        <x:v>Complete</x:v>
      </x:c>
      <x:c r="N119" s="12" t="str">
        <x:v>Unique</x:v>
      </x:c>
      <x:c r="O119" s="12" t="str"/>
    </x:row>
    <x:row r="120">
      <x:c r="A120" s="12" t="str">
        <x:v>ADM-0119</x:v>
      </x:c>
      <x:c r="B120" s="14" t="n">
        <x:v>46242</x:v>
      </x:c>
      <x:c r="C120" s="12" t="str">
        <x:v>Invoice</x:v>
      </x:c>
      <x:c r="D120" s="12" t="str">
        <x:v>Requester 06</x:v>
      </x:c>
      <x:c r="E120" s="12" t="str">
        <x:v>Admin B</x:v>
      </x:c>
      <x:c r="F120" s="12" t="str">
        <x:v>High</x:v>
      </x:c>
      <x:c r="G120" s="12" t="str">
        <x:v>Completed</x:v>
      </x:c>
      <x:c r="H120" s="14" t="n">
        <x:v>46243</x:v>
      </x:c>
      <x:c r="I120" s="14" t="n">
        <x:v>46247</x:v>
      </x:c>
      <x:c r="J120" s="12" t="n">
        <x:f>IF(I120&lt;&gt;"",I120-B120,TODAY()-B120)</x:f>
        <x:v>5</x:v>
      </x:c>
      <x:c r="K120" s="12" t="n">
        <x:v>1</x:v>
      </x:c>
      <x:c r="L120" s="12" t="str">
        <x:f>IF(G120="Completed",IF(J120&lt;=K120,"Within SLA","Late"),IF(TODAY()&lt;=H120,"Within SLA","Overdue"))</x:f>
        <x:v>Late</x:v>
      </x:c>
      <x:c r="M120" s="12" t="str">
        <x:v>Complete</x:v>
      </x:c>
      <x:c r="N120" s="12" t="str">
        <x:v>Unique</x:v>
      </x:c>
      <x:c r="O120" s="12" t="str"/>
    </x:row>
    <x:row r="121">
      <x:c r="A121" s="12" t="str">
        <x:v>ADM-0120</x:v>
      </x:c>
      <x:c r="B121" s="14" t="n">
        <x:v>46247</x:v>
      </x:c>
      <x:c r="C121" s="12" t="str">
        <x:v>Other</x:v>
      </x:c>
      <x:c r="D121" s="12" t="str">
        <x:v>Requester 44</x:v>
      </x:c>
      <x:c r="E121" s="12" t="str">
        <x:v>Admin C</x:v>
      </x:c>
      <x:c r="F121" s="12" t="str">
        <x:v>Medium</x:v>
      </x:c>
      <x:c r="G121" s="12" t="str">
        <x:v>Incomplete</x:v>
      </x:c>
      <x:c r="H121" s="14" t="n">
        <x:v>46250</x:v>
      </x:c>
      <x:c r="I121" s="14"/>
      <x:c r="J121" s="12" t="n">
        <x:f>IF(I121&lt;&gt;"",I121-B121,TODAY()-B121)</x:f>
        <x:v>9</x:v>
      </x:c>
      <x:c r="K121" s="12" t="n">
        <x:v>3</x:v>
      </x:c>
      <x:c r="L121" s="12" t="str">
        <x:f>IF(G121="Completed",IF(J121&lt;=K121,"Within SLA","Late"),IF(TODAY()&lt;=H121,"Within SLA","Overdue"))</x:f>
        <x:v>Overdue</x:v>
      </x:c>
      <x:c r="M121" s="12" t="str">
        <x:v>Complete</x:v>
      </x:c>
      <x:c r="N121" s="12" t="str">
        <x:v>Unique</x:v>
      </x:c>
      <x:c r="O121" s="12" t="str"/>
    </x:row>
  </x:sheetData>
  <x:conditionalFormatting sqref="F2:F121">
    <x:cfRule type="expression" dxfId="0" priority="1">
      <x:formula>F2="High"</x:formula>
    </x:cfRule>
  </x:conditionalFormatting>
  <x:conditionalFormatting sqref="L2:L121">
    <x:cfRule type="expression" dxfId="1" priority="2">
      <x:formula>OR(L2="Late",L2="Overdue")</x:formula>
    </x:cfRule>
  </x:conditionalFormatting>
  <x:conditionalFormatting sqref="M2:N121">
    <x:cfRule type="expression" dxfId="2" priority="3">
      <x:formula>OR(M2="Missing Document",N2="Duplicate")</x:formula>
    </x:cfRule>
  </x:conditionalFormatting>
  <x:dataValidations count="6">
    <x:dataValidation type="list" sqref="C2:C500">
      <x:formula1>Lists!$D$2:$D$8</x:formula1>
    </x:dataValidation>
    <x:dataValidation type="list" sqref="E2:E500">
      <x:formula1>Lists!$C$2:$C$5</x:formula1>
    </x:dataValidation>
    <x:dataValidation type="list" sqref="F2:F500">
      <x:formula1>Lists!$B$2:$B$4</x:formula1>
    </x:dataValidation>
    <x:dataValidation type="list" sqref="G2:G500">
      <x:formula1>Lists!$A$2:$A$5</x:formula1>
    </x:dataValidation>
    <x:dataValidation type="list" sqref="M2:M500">
      <x:formula1>"Complete,Missing Document"</x:formula1>
    </x:dataValidation>
    <x:dataValidation type="list" sqref="N2:N500">
      <x:formula1>"Unique,Duplicate"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db7b8a0cb1452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8" t="str">
        <x:v>ADMIN OPERATIONS CONTROL CENTER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>
      <x:c r="A3" s="22" t="str">
        <x:v>Dummy portfolio project · validation, backlog, SLA monitoring, and monthly reporting</x:v>
      </x:c>
      <x:c r="B3" s="22"/>
      <x:c r="C3" s="22"/>
      <x:c r="D3" s="22"/>
      <x:c r="E3" s="22"/>
      <x:c r="F3" s="22"/>
      <x:c r="G3" s="22"/>
      <x:c r="H3" s="22"/>
    </x:row>
    <x:row r="5">
      <x:c r="A5" s="24" t="str">
        <x:v>TOTAL RECORDS</x:v>
      </x:c>
      <x:c r="B5" s="24"/>
      <x:c r="C5" s="24" t="str">
        <x:v>COMPLETED</x:v>
      </x:c>
      <x:c r="D5" s="24"/>
      <x:c r="E5" s="24" t="str">
        <x:v>OPEN BACKLOG</x:v>
      </x:c>
      <x:c r="F5" s="24"/>
      <x:c r="G5" s="24" t="str">
        <x:v>SLA COMPLIANCE</x:v>
      </x:c>
      <x:c r="H5" s="24"/>
    </x:row>
    <x:row r="6">
      <x:c r="A6" s="36" t="n">
        <x:f>COUNTA('Admin Tracker'!A2:A121)</x:f>
        <x:v>120</x:v>
      </x:c>
      <x:c r="B6" s="37"/>
      <x:c r="C6" s="36" t="n">
        <x:f>COUNTIF('Admin Tracker'!G2:G121,"Completed")</x:f>
        <x:v>57</x:v>
      </x:c>
      <x:c r="D6" s="37"/>
      <x:c r="E6" s="36" t="n">
        <x:f>COUNTIF('Admin Tracker'!G2:G121,"&lt;&gt;Completed")</x:f>
        <x:v>63</x:v>
      </x:c>
      <x:c r="F6" s="37"/>
      <x:c r="G6" s="54" t="n">
        <x:f>COUNTIF('Admin Tracker'!L2:L121,"Within SLA")/COUNTA('Admin Tracker'!A2:A121)</x:f>
        <x:v>0.225</x:v>
      </x:c>
      <x:c r="H6" s="37"/>
    </x:row>
    <x:row r="7">
      <x:c r="A7" s="38"/>
      <x:c r="B7" s="39"/>
      <x:c r="C7" s="38"/>
      <x:c r="D7" s="39"/>
      <x:c r="E7" s="38"/>
      <x:c r="F7" s="39"/>
      <x:c r="G7" s="38"/>
      <x:c r="H7" s="39"/>
    </x:row>
    <x:row r="10">
      <x:c r="A10" s="6" t="str">
        <x:v>OPERATIONAL CHECK</x:v>
      </x:c>
      <x:c r="B10" s="6" t="str">
        <x:v>VALUE</x:v>
      </x:c>
      <x:c r="D10" s="6" t="str">
        <x:v>STATUS</x:v>
      </x:c>
      <x:c r="E10" s="6" t="str">
        <x:v>COUNT</x:v>
      </x:c>
    </x:row>
    <x:row r="11">
      <x:c r="A11" t="str">
        <x:v>Pending Verification</x:v>
      </x:c>
      <x:c r="B11" t="n">
        <x:f>COUNTIF('Admin Tracker'!G2:G121,"Pending Verification")</x:f>
        <x:v>27</x:v>
      </x:c>
      <x:c r="D11" t="str">
        <x:v>Completed</x:v>
      </x:c>
      <x:c r="E11" t="n">
        <x:f>COUNTIF('Admin Tracker'!G2:G121,D11)</x:f>
        <x:v>57</x:v>
      </x:c>
    </x:row>
    <x:row r="12">
      <x:c r="A12" t="str">
        <x:v>Incomplete</x:v>
      </x:c>
      <x:c r="B12" t="n">
        <x:f>COUNTIF('Admin Tracker'!G2:G121,"Incomplete")</x:f>
        <x:v>19</x:v>
      </x:c>
      <x:c r="D12" t="str">
        <x:v>Pending Verification</x:v>
      </x:c>
      <x:c r="E12" t="n">
        <x:f>COUNTIF('Admin Tracker'!G2:G121,D12)</x:f>
        <x:v>27</x:v>
      </x:c>
    </x:row>
    <x:row r="13">
      <x:c r="A13" t="str">
        <x:v>Escalated</x:v>
      </x:c>
      <x:c r="B13" t="n">
        <x:f>COUNTIF('Admin Tracker'!G2:G121,"Escalated")</x:f>
        <x:v>17</x:v>
      </x:c>
      <x:c r="D13" t="str">
        <x:v>Incomplete</x:v>
      </x:c>
      <x:c r="E13" t="n">
        <x:f>COUNTIF('Admin Tracker'!G2:G121,D13)</x:f>
        <x:v>19</x:v>
      </x:c>
    </x:row>
    <x:row r="14">
      <x:c r="A14" t="str">
        <x:v>Missing Documents</x:v>
      </x:c>
      <x:c r="B14" t="n">
        <x:f>COUNTIF('Admin Tracker'!M2:M121,"Missing Document")</x:f>
        <x:v>12</x:v>
      </x:c>
      <x:c r="D14" t="str">
        <x:v>Escalated</x:v>
      </x:c>
      <x:c r="E14" t="n">
        <x:f>COUNTIF('Admin Tracker'!G2:G121,D14)</x:f>
        <x:v>17</x:v>
      </x:c>
    </x:row>
    <x:row r="15">
      <x:c r="A15" t="str">
        <x:v>Duplicate Records</x:v>
      </x:c>
      <x:c r="B15" t="n">
        <x:f>COUNTIF('Admin Tracker'!N2:N121,"Duplicate")</x:f>
        <x:v>3</x:v>
      </x:c>
    </x:row>
    <x:row r="18">
      <x:c r="A18" s="6" t="str">
        <x:v>OWNER</x:v>
      </x:c>
      <x:c r="B18" s="6" t="str">
        <x:v>RECORDS</x:v>
      </x:c>
      <x:c r="C18" s="6" t="str">
        <x:v>COMPLETED</x:v>
      </x:c>
      <x:c r="E18" s="6" t="str">
        <x:v>SKILLS DEMONSTRATED</x:v>
      </x:c>
      <x:c r="F18" s="6"/>
      <x:c r="G18" s="6"/>
      <x:c r="H18" s="6"/>
    </x:row>
    <x:row r="19">
      <x:c r="A19" t="str">
        <x:v>Admin A</x:v>
      </x:c>
      <x:c r="B19" t="n">
        <x:f>COUNTIF('Admin Tracker'!E2:E121,A19)</x:f>
        <x:v>33</x:v>
      </x:c>
      <x:c r="C19" t="n">
        <x:f>COUNTIFS('Admin Tracker'!E2:E121,A19,'Admin Tracker'!G2:G121,"Completed")</x:f>
        <x:v>17</x:v>
      </x:c>
      <x:c r="E19" s="74" t="str">
        <x:v>• Data validation dropdowns
• Formula-driven processing time &amp; SLA status
• Duplicate / missing-document checks
• Conditional formatting for exceptions
• KPI monitoring &amp; status reporting
• Filterable operational tracker</x:v>
      </x:c>
      <x:c r="F19" s="75"/>
      <x:c r="G19" s="75"/>
      <x:c r="H19" s="76"/>
    </x:row>
    <x:row r="20">
      <x:c r="A20" t="str">
        <x:v>Admin B</x:v>
      </x:c>
      <x:c r="B20" t="n">
        <x:f>COUNTIF('Admin Tracker'!E2:E121,A20)</x:f>
        <x:v>32</x:v>
      </x:c>
      <x:c r="C20" t="n">
        <x:f>COUNTIFS('Admin Tracker'!E2:E121,A20,'Admin Tracker'!G2:G121,"Completed")</x:f>
        <x:v>18</x:v>
      </x:c>
      <x:c r="E20" s="77"/>
      <x:c r="F20" s="78"/>
      <x:c r="G20" s="78"/>
      <x:c r="H20" s="79"/>
    </x:row>
    <x:row r="21">
      <x:c r="A21" t="str">
        <x:v>Admin C</x:v>
      </x:c>
      <x:c r="B21" t="n">
        <x:f>COUNTIF('Admin Tracker'!E2:E121,A21)</x:f>
        <x:v>26</x:v>
      </x:c>
      <x:c r="C21" t="n">
        <x:f>COUNTIFS('Admin Tracker'!E2:E121,A21,'Admin Tracker'!G2:G121,"Completed")</x:f>
        <x:v>8</x:v>
      </x:c>
      <x:c r="E21" s="77"/>
      <x:c r="F21" s="78"/>
      <x:c r="G21" s="78"/>
      <x:c r="H21" s="79"/>
    </x:row>
    <x:row r="22">
      <x:c r="A22" t="str">
        <x:v>Admin D</x:v>
      </x:c>
      <x:c r="B22" t="n">
        <x:f>COUNTIF('Admin Tracker'!E2:E121,A22)</x:f>
        <x:v>29</x:v>
      </x:c>
      <x:c r="C22" t="n">
        <x:f>COUNTIFS('Admin Tracker'!E2:E121,A22,'Admin Tracker'!G2:G121,"Completed")</x:f>
        <x:v>14</x:v>
      </x:c>
      <x:c r="E22" s="77"/>
      <x:c r="F22" s="78"/>
      <x:c r="G22" s="78"/>
      <x:c r="H22" s="79"/>
    </x:row>
    <x:row r="23">
      <x:c r="A23" t="str">
        <x:v>TOTAL</x:v>
      </x:c>
      <x:c r="B23" t="n">
        <x:f>SUM(B19:B22)</x:f>
        <x:v>120</x:v>
      </x:c>
      <x:c r="C23" t="n">
        <x:f>SUM(C19:C22)</x:f>
        <x:v>57</x:v>
      </x:c>
      <x:c r="E23" s="77"/>
      <x:c r="F23" s="78"/>
      <x:c r="G23" s="78"/>
      <x:c r="H23" s="79"/>
    </x:row>
    <x:row r="24">
      <x:c r="E24" s="80"/>
      <x:c r="F24" s="81"/>
      <x:c r="G24" s="81"/>
      <x:c r="H24" s="82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E18:H18"/>
    <x:mergeCell ref="E19:H24"/>
  </x:mergeCells>
  <x:pageMargins left="0.7" right="0.7" top="0.75" bottom="0.75" header="0.3" footer="0.3"/>
  <x:drawing xmlns:r="http://schemas.openxmlformats.org/officeDocument/2006/relationships" r:id="R3faf55b063f24267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6" t="str">
        <x:v>Status</x:v>
      </x:c>
      <x:c r="B1" s="6" t="str">
        <x:v>Priority</x:v>
      </x:c>
      <x:c r="C1" s="6" t="str">
        <x:v>Owner</x:v>
      </x:c>
      <x:c r="D1" s="6" t="str">
        <x:v>Document Type</x:v>
      </x:c>
    </x:row>
    <x:row r="2">
      <x:c r="A2" t="str">
        <x:v>Completed</x:v>
      </x:c>
      <x:c r="B2" t="str">
        <x:v>Low</x:v>
      </x:c>
      <x:c r="C2" t="str">
        <x:v>Admin A</x:v>
      </x:c>
      <x:c r="D2" t="str">
        <x:v>Invoice</x:v>
      </x:c>
    </x:row>
    <x:row r="3">
      <x:c r="A3" t="str">
        <x:v>Pending Verification</x:v>
      </x:c>
      <x:c r="B3" t="str">
        <x:v>Medium</x:v>
      </x:c>
      <x:c r="C3" t="str">
        <x:v>Admin B</x:v>
      </x:c>
      <x:c r="D3" t="str">
        <x:v>Purchase Order</x:v>
      </x:c>
    </x:row>
    <x:row r="4">
      <x:c r="A4" t="str">
        <x:v>Incomplete</x:v>
      </x:c>
      <x:c r="B4" t="str">
        <x:v>High</x:v>
      </x:c>
      <x:c r="C4" t="str">
        <x:v>Admin C</x:v>
      </x:c>
      <x:c r="D4" t="str">
        <x:v>Delivery Note</x:v>
      </x:c>
    </x:row>
    <x:row r="5">
      <x:c r="A5" t="str">
        <x:v>Escalated</x:v>
      </x:c>
      <x:c r="B5"/>
      <x:c r="C5" t="str">
        <x:v>Admin D</x:v>
      </x:c>
      <x:c r="D5" t="str">
        <x:v>Contract</x:v>
      </x:c>
    </x:row>
    <x:row r="6">
      <x:c r="A6"/>
      <x:c r="B6"/>
      <x:c r="C6"/>
      <x:c r="D6" t="str">
        <x:v>Customer Form</x:v>
      </x:c>
    </x:row>
    <x:row r="7">
      <x:c r="A7"/>
      <x:c r="B7"/>
      <x:c r="C7"/>
      <x:c r="D7" t="str">
        <x:v>Vendor Form</x:v>
      </x:c>
    </x:row>
    <x:row r="8">
      <x:c r="A8"/>
      <x:c r="B8"/>
      <x:c r="C8"/>
      <x:c r="D8" t="str">
        <x:v>Other</x:v>
      </x:c>
    </x:row>
  </x:sheetData>
  <x:pageMargins left="0.7" right="0.7" top="0.75" bottom="0.75" header="0.3" footer="0.3"/>
</x:worksheet>
</file>